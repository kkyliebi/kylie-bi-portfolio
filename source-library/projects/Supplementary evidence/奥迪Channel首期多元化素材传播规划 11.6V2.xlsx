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/>
  <mc:AlternateContent xmlns:mc="http://schemas.openxmlformats.org/markup-compatibility/2006">
    <mc:Choice Requires="x15">
      <x15ac:absPath xmlns:x15ac="http://schemas.microsoft.com/office/spreadsheetml/2010/11/ac" url="/Users/kyliebi/Documents/EP01/传播素材/"/>
    </mc:Choice>
  </mc:AlternateContent>
  <xr:revisionPtr revIDLastSave="0" documentId="13_ncr:1_{B7496811-5C77-C245-AF89-866AF1CB28E1}" xr6:coauthVersionLast="45" xr6:coauthVersionMax="45" xr10:uidLastSave="{00000000-0000-0000-0000-000000000000}"/>
  <bookViews>
    <workbookView xWindow="0" yWindow="0" windowWidth="28800" windowHeight="18000" xr2:uid="{00000000-000D-0000-FFFF-FFFF00000000}"/>
  </bookViews>
  <sheets>
    <sheet name="多元化素材规划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2" l="1"/>
  <c r="G26" i="2"/>
  <c r="H26" i="2"/>
  <c r="F27" i="2" l="1"/>
</calcChain>
</file>

<file path=xl/sharedStrings.xml><?xml version="1.0" encoding="utf-8"?>
<sst xmlns="http://schemas.openxmlformats.org/spreadsheetml/2006/main" count="88" uniqueCount="75">
  <si>
    <t>时间</t>
  </si>
  <si>
    <t>内容方向</t>
  </si>
  <si>
    <t>数量规划</t>
  </si>
  <si>
    <t>描述</t>
  </si>
  <si>
    <t>阶段</t>
  </si>
  <si>
    <t>日期</t>
  </si>
  <si>
    <t>时间段</t>
  </si>
  <si>
    <t>长图</t>
  </si>
  <si>
    <t>视频</t>
  </si>
  <si>
    <t>直播前
预热阶段</t>
  </si>
  <si>
    <t>上午</t>
  </si>
  <si>
    <t>下午</t>
  </si>
  <si>
    <t>灵笼篇预热视频</t>
  </si>
  <si>
    <t>滑板篇预热视频</t>
  </si>
  <si>
    <t>官方直播预热海报</t>
  </si>
  <si>
    <t>直播入口、时间等信息预告</t>
  </si>
  <si>
    <t>名人导流视频</t>
  </si>
  <si>
    <t>直播中</t>
  </si>
  <si>
    <t>灵笼环节后</t>
  </si>
  <si>
    <t>滑板环节后</t>
  </si>
  <si>
    <t>奥迪好物——奥迪概念车及王一博联名滑板长图</t>
  </si>
  <si>
    <t>A3联名款
及领导环节后</t>
  </si>
  <si>
    <t>奥迪好惊喜——联名版奥迪A3及领导部分长图</t>
  </si>
  <si>
    <t>直播后
二次传播</t>
  </si>
  <si>
    <t>数据战报</t>
  </si>
  <si>
    <t>好玩*1+好物*1+好惊喜*2</t>
  </si>
  <si>
    <t>精彩瞬间1min Cut</t>
  </si>
  <si>
    <t>好玩好物好惊喜各1</t>
  </si>
  <si>
    <t>金句视频</t>
  </si>
  <si>
    <t>小计</t>
  </si>
  <si>
    <t>总计</t>
  </si>
  <si>
    <t>平台定位定义、强信息传播</t>
    <phoneticPr fontId="7" type="noConversion"/>
  </si>
  <si>
    <t>奥迪官方直播频道预热</t>
    <phoneticPr fontId="7" type="noConversion"/>
  </si>
  <si>
    <t>第一期主题概念预热</t>
    <phoneticPr fontId="7" type="noConversion"/>
  </si>
  <si>
    <t>奥迪 X Z世代的异想世界主题概念，调性空镜</t>
    <phoneticPr fontId="7" type="noConversion"/>
  </si>
  <si>
    <t>晚上</t>
    <phoneticPr fontId="7" type="noConversion"/>
  </si>
  <si>
    <t>晚上</t>
    <phoneticPr fontId="7" type="noConversion"/>
  </si>
  <si>
    <t>李晨个人小视频</t>
    <phoneticPr fontId="7" type="noConversion"/>
  </si>
  <si>
    <t>强总个人小视频</t>
    <phoneticPr fontId="7" type="noConversion"/>
  </si>
  <si>
    <t>内容看点预热短视频</t>
    <phoneticPr fontId="7" type="noConversion"/>
  </si>
  <si>
    <t>王一博及限量版A3预热视频</t>
    <phoneticPr fontId="7" type="noConversion"/>
  </si>
  <si>
    <t>王一博ID视频（或李晨视频）</t>
    <phoneticPr fontId="7" type="noConversion"/>
  </si>
  <si>
    <t>传播渠道</t>
    <phoneticPr fontId="7" type="noConversion"/>
  </si>
  <si>
    <t>上午</t>
    <phoneticPr fontId="7" type="noConversion"/>
  </si>
  <si>
    <t>完整正片</t>
    <phoneticPr fontId="7" type="noConversion"/>
  </si>
  <si>
    <t>官方抖音、朋友圈</t>
    <phoneticPr fontId="7" type="noConversion"/>
  </si>
  <si>
    <t>官方抖音、官方视频号、朋友圈</t>
    <phoneticPr fontId="7" type="noConversion"/>
  </si>
  <si>
    <t>官方抖音、官方视频号、强总个人视频号、朋友圈</t>
    <phoneticPr fontId="7" type="noConversion"/>
  </si>
  <si>
    <t>官方抖音、官方视频号、朋友圈</t>
    <phoneticPr fontId="7" type="noConversion"/>
  </si>
  <si>
    <t>晚上</t>
    <phoneticPr fontId="7" type="noConversion"/>
  </si>
  <si>
    <t>精彩瞬间15s Cut</t>
    <phoneticPr fontId="7" type="noConversion"/>
  </si>
  <si>
    <t>直播全程*1+各个环节*3</t>
    <phoneticPr fontId="7" type="noConversion"/>
  </si>
  <si>
    <t>下午</t>
    <phoneticPr fontId="7" type="noConversion"/>
  </si>
  <si>
    <t>官方微博、朋友圈</t>
    <phoneticPr fontId="7" type="noConversion"/>
  </si>
  <si>
    <t>奥迪Channel多元化素材传播规划</t>
    <phoneticPr fontId="7" type="noConversion"/>
  </si>
  <si>
    <t>海报</t>
    <phoneticPr fontId="7" type="noConversion"/>
  </si>
  <si>
    <t>精彩图片集锦</t>
    <phoneticPr fontId="7" type="noConversion"/>
  </si>
  <si>
    <t>直播图片</t>
    <phoneticPr fontId="7" type="noConversion"/>
  </si>
  <si>
    <t>直播结束后</t>
    <phoneticPr fontId="7" type="noConversion"/>
  </si>
  <si>
    <t>抖音Toplive开屏</t>
    <phoneticPr fontId="7" type="noConversion"/>
  </si>
  <si>
    <t>Toplive开屏
（20:00-22:00）</t>
    <phoneticPr fontId="7" type="noConversion"/>
  </si>
  <si>
    <t>朋友圈</t>
    <phoneticPr fontId="7" type="noConversion"/>
  </si>
  <si>
    <r>
      <t>插播VCR+</t>
    </r>
    <r>
      <rPr>
        <b/>
        <sz val="9"/>
        <color theme="1"/>
        <rFont val="微软雅黑"/>
        <family val="2"/>
        <charset val="134"/>
      </rPr>
      <t>亮点长图</t>
    </r>
    <phoneticPr fontId="7" type="noConversion"/>
  </si>
  <si>
    <t>王一博滑板开箱VCR</t>
    <phoneticPr fontId="7" type="noConversion"/>
  </si>
  <si>
    <t>灵笼环节精彩VCR</t>
    <phoneticPr fontId="7" type="noConversion"/>
  </si>
  <si>
    <r>
      <t>联名款A</t>
    </r>
    <r>
      <rPr>
        <b/>
        <sz val="9"/>
        <color theme="1"/>
        <rFont val="微软雅黑"/>
        <family val="2"/>
        <charset val="134"/>
      </rPr>
      <t>3环节精彩VCR</t>
    </r>
    <phoneticPr fontId="7" type="noConversion"/>
  </si>
  <si>
    <t>多张</t>
    <phoneticPr fontId="7" type="noConversion"/>
  </si>
  <si>
    <t>官方B站</t>
    <phoneticPr fontId="7" type="noConversion"/>
  </si>
  <si>
    <t>官方微博、朋友圈</t>
    <phoneticPr fontId="7" type="noConversion"/>
  </si>
  <si>
    <t>奥迪好玩——奥迪支持《灵笼》国漫崛起长图</t>
    <phoneticPr fontId="7" type="noConversion"/>
  </si>
  <si>
    <t>官方抖音、李晨抖音、朋友圈</t>
    <phoneticPr fontId="7" type="noConversion"/>
  </si>
  <si>
    <t>官方视频号、朋友圈</t>
    <phoneticPr fontId="7" type="noConversion"/>
  </si>
  <si>
    <t>官方视频号</t>
    <phoneticPr fontId="7" type="noConversion"/>
  </si>
  <si>
    <t>直播后的数据战报长图</t>
    <phoneticPr fontId="7" type="noConversion"/>
  </si>
  <si>
    <t>灵笼环节*1+滑板环节*1+领导*2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</si>
</sst>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9"/>
      <color theme="0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theme="1"/>
      <name val="微软雅黑 Bold"/>
      <charset val="134"/>
    </font>
    <font>
      <sz val="9"/>
      <name val="微软雅黑 Bold"/>
      <charset val="134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9"/>
      <color theme="1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b/>
      <sz val="9"/>
      <name val="微软雅黑"/>
      <family val="2"/>
      <charset val="134"/>
    </font>
    <font>
      <b/>
      <sz val="11"/>
      <color theme="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BB0A3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58" fontId="3" fillId="0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58" fontId="3" fillId="0" borderId="6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58" fontId="3" fillId="0" borderId="1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58" fontId="3" fillId="0" borderId="5" xfId="0" applyNumberFormat="1" applyFont="1" applyFill="1" applyBorder="1" applyAlignment="1">
      <alignment horizontal="center" vertical="center" wrapText="1"/>
    </xf>
    <xf numFmtId="58" fontId="3" fillId="0" borderId="1" xfId="0" applyNumberFormat="1" applyFont="1" applyFill="1" applyBorder="1" applyAlignment="1">
      <alignment horizontal="center" vertical="center"/>
    </xf>
    <xf numFmtId="58" fontId="3" fillId="0" borderId="2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58" fontId="3" fillId="0" borderId="4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9" fillId="3" borderId="5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58" fontId="9" fillId="0" borderId="1" xfId="0" applyNumberFormat="1" applyFont="1" applyFill="1" applyBorder="1" applyAlignment="1">
      <alignment horizontal="center" vertical="center"/>
    </xf>
    <xf numFmtId="58" fontId="9" fillId="0" borderId="6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58" fontId="9" fillId="0" borderId="1" xfId="0" applyNumberFormat="1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58" fontId="9" fillId="0" borderId="2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58" fontId="9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vertical="center"/>
    </xf>
    <xf numFmtId="0" fontId="2" fillId="2" borderId="13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 wrapText="1"/>
    </xf>
    <xf numFmtId="58" fontId="9" fillId="0" borderId="15" xfId="0" applyNumberFormat="1" applyFont="1" applyFill="1" applyBorder="1" applyAlignment="1">
      <alignment horizontal="center" vertical="center" wrapText="1"/>
    </xf>
    <xf numFmtId="58" fontId="3" fillId="0" borderId="15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5" fillId="3" borderId="20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vertical="center"/>
    </xf>
    <xf numFmtId="0" fontId="1" fillId="0" borderId="22" xfId="0" applyFont="1" applyFill="1" applyBorder="1" applyAlignment="1">
      <alignment vertical="center"/>
    </xf>
    <xf numFmtId="0" fontId="11" fillId="4" borderId="23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58" fontId="3" fillId="0" borderId="2" xfId="0" applyNumberFormat="1" applyFont="1" applyFill="1" applyBorder="1" applyAlignment="1">
      <alignment horizontal="center" vertical="center"/>
    </xf>
    <xf numFmtId="58" fontId="3" fillId="0" borderId="3" xfId="0" applyNumberFormat="1" applyFont="1" applyFill="1" applyBorder="1" applyAlignment="1">
      <alignment horizontal="center" vertical="center"/>
    </xf>
    <xf numFmtId="58" fontId="3" fillId="0" borderId="4" xfId="0" applyNumberFormat="1" applyFont="1" applyFill="1" applyBorder="1" applyAlignment="1">
      <alignment horizontal="center" vertical="center"/>
    </xf>
    <xf numFmtId="58" fontId="3" fillId="0" borderId="2" xfId="0" applyNumberFormat="1" applyFont="1" applyFill="1" applyBorder="1" applyAlignment="1">
      <alignment horizontal="center" vertical="center" wrapText="1"/>
    </xf>
    <xf numFmtId="58" fontId="3" fillId="0" borderId="4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58" fontId="9" fillId="0" borderId="1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58" fontId="3" fillId="0" borderId="3" xfId="0" applyNumberFormat="1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58" fontId="3" fillId="0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zoomScale="141" workbookViewId="0">
      <selection activeCell="D24" sqref="D24"/>
    </sheetView>
  </sheetViews>
  <sheetFormatPr baseColWidth="10" defaultColWidth="9" defaultRowHeight="15"/>
  <cols>
    <col min="1" max="1" width="8.1640625" style="1" customWidth="1"/>
    <col min="2" max="2" width="8.6640625" style="1" customWidth="1"/>
    <col min="3" max="3" width="12.1640625" style="1" customWidth="1"/>
    <col min="4" max="4" width="27" style="1" customWidth="1"/>
    <col min="5" max="5" width="37.6640625" style="1" customWidth="1"/>
    <col min="6" max="6" width="5.83203125" style="1" customWidth="1"/>
    <col min="7" max="7" width="5.6640625" style="1" customWidth="1"/>
    <col min="8" max="8" width="6.33203125" style="1" customWidth="1"/>
    <col min="9" max="9" width="22.1640625" style="1" customWidth="1"/>
    <col min="10" max="10" width="21.1640625" style="1" customWidth="1"/>
    <col min="11" max="16384" width="9" style="1"/>
  </cols>
  <sheetData>
    <row r="1" spans="1:10" ht="30" customHeight="1">
      <c r="A1" s="80" t="s">
        <v>54</v>
      </c>
      <c r="B1" s="81"/>
      <c r="C1" s="81"/>
      <c r="D1" s="81"/>
      <c r="E1" s="81"/>
      <c r="F1" s="81"/>
      <c r="G1" s="81"/>
      <c r="H1" s="81"/>
      <c r="I1" s="82"/>
    </row>
    <row r="2" spans="1:10">
      <c r="A2" s="87" t="s">
        <v>0</v>
      </c>
      <c r="B2" s="88"/>
      <c r="C2" s="88"/>
      <c r="D2" s="83" t="s">
        <v>1</v>
      </c>
      <c r="E2" s="3"/>
      <c r="F2" s="86" t="s">
        <v>2</v>
      </c>
      <c r="G2" s="86"/>
      <c r="H2" s="86"/>
      <c r="I2" s="72" t="s">
        <v>42</v>
      </c>
    </row>
    <row r="3" spans="1:10" ht="16" customHeight="1">
      <c r="A3" s="87"/>
      <c r="B3" s="88"/>
      <c r="C3" s="88"/>
      <c r="D3" s="84"/>
      <c r="E3" s="5" t="s">
        <v>3</v>
      </c>
      <c r="F3" s="86"/>
      <c r="G3" s="86"/>
      <c r="H3" s="86"/>
      <c r="I3" s="72"/>
    </row>
    <row r="4" spans="1:10" ht="26" customHeight="1">
      <c r="A4" s="44" t="s">
        <v>4</v>
      </c>
      <c r="B4" s="6" t="s">
        <v>5</v>
      </c>
      <c r="C4" s="6" t="s">
        <v>6</v>
      </c>
      <c r="D4" s="85"/>
      <c r="E4" s="6"/>
      <c r="F4" s="39" t="s">
        <v>55</v>
      </c>
      <c r="G4" s="2" t="s">
        <v>7</v>
      </c>
      <c r="H4" s="4" t="s">
        <v>8</v>
      </c>
      <c r="I4" s="73"/>
      <c r="J4" s="29"/>
    </row>
    <row r="5" spans="1:10" ht="31" customHeight="1">
      <c r="A5" s="76" t="s">
        <v>9</v>
      </c>
      <c r="B5" s="61">
        <v>44149</v>
      </c>
      <c r="C5" s="20" t="s">
        <v>10</v>
      </c>
      <c r="D5" s="28" t="s">
        <v>32</v>
      </c>
      <c r="E5" s="28" t="s">
        <v>31</v>
      </c>
      <c r="F5" s="9"/>
      <c r="G5" s="9"/>
      <c r="H5" s="10">
        <v>1</v>
      </c>
      <c r="I5" s="70" t="s">
        <v>46</v>
      </c>
      <c r="J5" s="29"/>
    </row>
    <row r="6" spans="1:10" ht="31" customHeight="1">
      <c r="A6" s="76"/>
      <c r="B6" s="62"/>
      <c r="C6" s="20" t="s">
        <v>11</v>
      </c>
      <c r="D6" s="27" t="s">
        <v>33</v>
      </c>
      <c r="E6" s="28" t="s">
        <v>34</v>
      </c>
      <c r="F6" s="9"/>
      <c r="G6" s="9"/>
      <c r="H6" s="10">
        <v>1</v>
      </c>
      <c r="I6" s="71"/>
      <c r="J6" s="29"/>
    </row>
    <row r="7" spans="1:10" ht="31" customHeight="1">
      <c r="A7" s="76"/>
      <c r="B7" s="63"/>
      <c r="C7" s="30" t="s">
        <v>35</v>
      </c>
      <c r="D7" s="27" t="s">
        <v>37</v>
      </c>
      <c r="E7" s="28"/>
      <c r="F7" s="9"/>
      <c r="G7" s="9"/>
      <c r="H7" s="10">
        <v>1</v>
      </c>
      <c r="I7" s="45" t="s">
        <v>70</v>
      </c>
      <c r="J7" s="29"/>
    </row>
    <row r="8" spans="1:10" ht="36" customHeight="1">
      <c r="A8" s="76"/>
      <c r="B8" s="61">
        <v>44150</v>
      </c>
      <c r="C8" s="20" t="s">
        <v>10</v>
      </c>
      <c r="D8" s="78" t="s">
        <v>39</v>
      </c>
      <c r="E8" s="9" t="s">
        <v>12</v>
      </c>
      <c r="F8" s="9"/>
      <c r="G8" s="9"/>
      <c r="H8" s="11">
        <v>1</v>
      </c>
      <c r="I8" s="70" t="s">
        <v>46</v>
      </c>
    </row>
    <row r="9" spans="1:10" ht="32" customHeight="1">
      <c r="A9" s="76"/>
      <c r="B9" s="62"/>
      <c r="C9" s="12" t="s">
        <v>11</v>
      </c>
      <c r="D9" s="79"/>
      <c r="E9" s="7" t="s">
        <v>13</v>
      </c>
      <c r="F9" s="7"/>
      <c r="G9" s="7"/>
      <c r="H9" s="13">
        <v>1</v>
      </c>
      <c r="I9" s="71"/>
    </row>
    <row r="10" spans="1:10" ht="32" customHeight="1">
      <c r="A10" s="76"/>
      <c r="B10" s="63"/>
      <c r="C10" s="31" t="s">
        <v>36</v>
      </c>
      <c r="D10" s="33" t="s">
        <v>38</v>
      </c>
      <c r="E10" s="14"/>
      <c r="F10" s="14"/>
      <c r="G10" s="14"/>
      <c r="H10" s="13"/>
      <c r="I10" s="46" t="s">
        <v>47</v>
      </c>
    </row>
    <row r="11" spans="1:10" ht="34.5" customHeight="1">
      <c r="A11" s="76"/>
      <c r="B11" s="61">
        <v>44151</v>
      </c>
      <c r="C11" s="12" t="s">
        <v>10</v>
      </c>
      <c r="D11" s="32" t="s">
        <v>39</v>
      </c>
      <c r="E11" s="35" t="s">
        <v>40</v>
      </c>
      <c r="F11" s="14"/>
      <c r="G11" s="14"/>
      <c r="H11" s="13">
        <v>1</v>
      </c>
      <c r="I11" s="46" t="s">
        <v>48</v>
      </c>
    </row>
    <row r="12" spans="1:10" ht="35.25" customHeight="1">
      <c r="A12" s="76"/>
      <c r="B12" s="62"/>
      <c r="C12" s="8" t="s">
        <v>11</v>
      </c>
      <c r="D12" s="15" t="s">
        <v>14</v>
      </c>
      <c r="E12" s="19" t="s">
        <v>15</v>
      </c>
      <c r="F12" s="13">
        <v>1</v>
      </c>
      <c r="G12" s="19"/>
      <c r="H12" s="10"/>
      <c r="I12" s="45" t="s">
        <v>53</v>
      </c>
    </row>
    <row r="13" spans="1:10" ht="45" customHeight="1">
      <c r="A13" s="58" t="s">
        <v>17</v>
      </c>
      <c r="B13" s="62"/>
      <c r="C13" s="34" t="s">
        <v>60</v>
      </c>
      <c r="D13" s="16" t="s">
        <v>16</v>
      </c>
      <c r="E13" s="34" t="s">
        <v>41</v>
      </c>
      <c r="F13" s="18"/>
      <c r="G13" s="19"/>
      <c r="H13" s="10">
        <v>1</v>
      </c>
      <c r="I13" s="45" t="s">
        <v>59</v>
      </c>
    </row>
    <row r="14" spans="1:10" ht="34.5" customHeight="1">
      <c r="A14" s="59"/>
      <c r="B14" s="62"/>
      <c r="C14" s="61" t="s">
        <v>18</v>
      </c>
      <c r="D14" s="66" t="s">
        <v>62</v>
      </c>
      <c r="E14" s="36" t="s">
        <v>69</v>
      </c>
      <c r="F14" s="21"/>
      <c r="G14" s="22">
        <v>1</v>
      </c>
      <c r="H14" s="22"/>
      <c r="I14" s="45" t="s">
        <v>61</v>
      </c>
    </row>
    <row r="15" spans="1:10" ht="34.5" customHeight="1">
      <c r="A15" s="59"/>
      <c r="B15" s="62"/>
      <c r="C15" s="63"/>
      <c r="D15" s="67"/>
      <c r="E15" s="36" t="s">
        <v>64</v>
      </c>
      <c r="F15" s="21"/>
      <c r="G15" s="22"/>
      <c r="H15" s="22">
        <v>1</v>
      </c>
      <c r="I15" s="45" t="s">
        <v>45</v>
      </c>
    </row>
    <row r="16" spans="1:10" ht="33.75" customHeight="1">
      <c r="A16" s="59"/>
      <c r="B16" s="62"/>
      <c r="C16" s="61" t="s">
        <v>19</v>
      </c>
      <c r="D16" s="67"/>
      <c r="E16" s="21" t="s">
        <v>20</v>
      </c>
      <c r="F16" s="21"/>
      <c r="G16" s="22">
        <v>1</v>
      </c>
      <c r="H16" s="22"/>
      <c r="I16" s="45" t="s">
        <v>61</v>
      </c>
    </row>
    <row r="17" spans="1:10" ht="33.75" customHeight="1">
      <c r="A17" s="59"/>
      <c r="B17" s="62"/>
      <c r="C17" s="63"/>
      <c r="D17" s="67"/>
      <c r="E17" s="36" t="s">
        <v>63</v>
      </c>
      <c r="F17" s="21"/>
      <c r="G17" s="22"/>
      <c r="H17" s="22">
        <v>1</v>
      </c>
      <c r="I17" s="45" t="s">
        <v>45</v>
      </c>
    </row>
    <row r="18" spans="1:10" ht="36.75" customHeight="1">
      <c r="A18" s="59"/>
      <c r="B18" s="62"/>
      <c r="C18" s="64" t="s">
        <v>21</v>
      </c>
      <c r="D18" s="67"/>
      <c r="E18" s="21" t="s">
        <v>22</v>
      </c>
      <c r="F18" s="21"/>
      <c r="G18" s="22">
        <v>1</v>
      </c>
      <c r="H18" s="22"/>
      <c r="I18" s="45" t="s">
        <v>61</v>
      </c>
    </row>
    <row r="19" spans="1:10" ht="36.75" customHeight="1">
      <c r="A19" s="59"/>
      <c r="B19" s="62"/>
      <c r="C19" s="65"/>
      <c r="D19" s="68"/>
      <c r="E19" s="36" t="s">
        <v>65</v>
      </c>
      <c r="F19" s="21"/>
      <c r="G19" s="22"/>
      <c r="H19" s="22">
        <v>1</v>
      </c>
      <c r="I19" s="45" t="s">
        <v>45</v>
      </c>
    </row>
    <row r="20" spans="1:10" ht="36.75" customHeight="1">
      <c r="A20" s="60"/>
      <c r="B20" s="63"/>
      <c r="C20" s="34" t="s">
        <v>58</v>
      </c>
      <c r="D20" s="37" t="s">
        <v>57</v>
      </c>
      <c r="E20" s="36" t="s">
        <v>56</v>
      </c>
      <c r="F20" s="36" t="s">
        <v>66</v>
      </c>
      <c r="G20" s="22"/>
      <c r="H20" s="22"/>
      <c r="I20" s="47" t="s">
        <v>68</v>
      </c>
    </row>
    <row r="21" spans="1:10" ht="29" customHeight="1">
      <c r="A21" s="76" t="s">
        <v>23</v>
      </c>
      <c r="B21" s="64">
        <v>44152</v>
      </c>
      <c r="C21" s="69" t="s">
        <v>43</v>
      </c>
      <c r="D21" s="7" t="s">
        <v>24</v>
      </c>
      <c r="E21" s="21" t="s">
        <v>73</v>
      </c>
      <c r="F21" s="21"/>
      <c r="G21" s="22">
        <v>1</v>
      </c>
      <c r="H21" s="23"/>
      <c r="I21" s="48" t="s">
        <v>61</v>
      </c>
    </row>
    <row r="22" spans="1:10" ht="29" customHeight="1">
      <c r="A22" s="76"/>
      <c r="B22" s="74"/>
      <c r="C22" s="69"/>
      <c r="D22" s="37" t="s">
        <v>44</v>
      </c>
      <c r="E22" s="36" t="s">
        <v>51</v>
      </c>
      <c r="F22" s="21"/>
      <c r="G22" s="22"/>
      <c r="H22" s="22">
        <v>4</v>
      </c>
      <c r="I22" s="47" t="s">
        <v>67</v>
      </c>
    </row>
    <row r="23" spans="1:10" ht="29" customHeight="1">
      <c r="A23" s="76"/>
      <c r="B23" s="65"/>
      <c r="C23" s="36" t="s">
        <v>49</v>
      </c>
      <c r="D23" s="21" t="s">
        <v>28</v>
      </c>
      <c r="E23" s="21" t="s">
        <v>74</v>
      </c>
      <c r="F23" s="21"/>
      <c r="G23" s="21"/>
      <c r="H23" s="40">
        <v>4</v>
      </c>
      <c r="I23" s="49" t="s">
        <v>71</v>
      </c>
    </row>
    <row r="24" spans="1:10" s="23" customFormat="1" ht="31" customHeight="1">
      <c r="A24" s="76"/>
      <c r="B24" s="77">
        <v>44153</v>
      </c>
      <c r="C24" s="34" t="s">
        <v>43</v>
      </c>
      <c r="D24" s="34" t="s">
        <v>50</v>
      </c>
      <c r="E24" s="17" t="s">
        <v>25</v>
      </c>
      <c r="F24" s="17"/>
      <c r="G24" s="17"/>
      <c r="H24" s="10">
        <v>4</v>
      </c>
      <c r="I24" s="45" t="s">
        <v>61</v>
      </c>
      <c r="J24" s="43"/>
    </row>
    <row r="25" spans="1:10" ht="33" customHeight="1">
      <c r="A25" s="76"/>
      <c r="B25" s="77"/>
      <c r="C25" s="41" t="s">
        <v>52</v>
      </c>
      <c r="D25" s="24" t="s">
        <v>26</v>
      </c>
      <c r="E25" s="24" t="s">
        <v>27</v>
      </c>
      <c r="F25" s="24"/>
      <c r="G25" s="24"/>
      <c r="H25" s="42">
        <v>3</v>
      </c>
      <c r="I25" s="50" t="s">
        <v>72</v>
      </c>
    </row>
    <row r="26" spans="1:10" ht="20.25" customHeight="1">
      <c r="A26" s="51"/>
      <c r="B26" s="52"/>
      <c r="C26" s="52"/>
      <c r="D26" s="52"/>
      <c r="E26" s="38" t="s">
        <v>29</v>
      </c>
      <c r="F26" s="25">
        <f>SUM(F5:F25)</f>
        <v>1</v>
      </c>
      <c r="G26" s="25">
        <f>SUM(G5:G25)</f>
        <v>4</v>
      </c>
      <c r="H26" s="25">
        <f>SUM(H5:H25)</f>
        <v>25</v>
      </c>
      <c r="I26" s="53"/>
    </row>
    <row r="27" spans="1:10" ht="24" customHeight="1" thickBot="1">
      <c r="A27" s="54"/>
      <c r="B27" s="55"/>
      <c r="C27" s="55"/>
      <c r="D27" s="55"/>
      <c r="E27" s="56" t="s">
        <v>30</v>
      </c>
      <c r="F27" s="75">
        <f>F26+G26+H26</f>
        <v>30</v>
      </c>
      <c r="G27" s="75"/>
      <c r="H27" s="75"/>
      <c r="I27" s="57"/>
    </row>
    <row r="28" spans="1:10">
      <c r="D28" s="26"/>
    </row>
    <row r="29" spans="1:10">
      <c r="D29" s="26"/>
    </row>
    <row r="30" spans="1:10">
      <c r="D30" s="26"/>
    </row>
  </sheetData>
  <mergeCells count="22">
    <mergeCell ref="A1:I1"/>
    <mergeCell ref="D2:D4"/>
    <mergeCell ref="F2:H3"/>
    <mergeCell ref="A2:C3"/>
    <mergeCell ref="B21:B23"/>
    <mergeCell ref="F27:H27"/>
    <mergeCell ref="A5:A12"/>
    <mergeCell ref="A21:A25"/>
    <mergeCell ref="B24:B25"/>
    <mergeCell ref="B5:B7"/>
    <mergeCell ref="B8:B10"/>
    <mergeCell ref="D8:D9"/>
    <mergeCell ref="D14:D19"/>
    <mergeCell ref="C21:C22"/>
    <mergeCell ref="I5:I6"/>
    <mergeCell ref="I8:I9"/>
    <mergeCell ref="I2:I4"/>
    <mergeCell ref="A13:A20"/>
    <mergeCell ref="B11:B20"/>
    <mergeCell ref="C16:C17"/>
    <mergeCell ref="C14:C15"/>
    <mergeCell ref="C18:C19"/>
  </mergeCells>
  <phoneticPr fontId="7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多元化素材规划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xueman.tian</dc:creator>
  <cp:lastModifiedBy>Microsoft Office User</cp:lastModifiedBy>
  <dcterms:created xsi:type="dcterms:W3CDTF">2020-10-14T03:06:00Z</dcterms:created>
  <dcterms:modified xsi:type="dcterms:W3CDTF">2020-11-06T07:30:48Z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