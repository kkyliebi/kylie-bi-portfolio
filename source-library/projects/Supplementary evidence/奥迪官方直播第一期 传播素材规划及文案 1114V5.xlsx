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kyliebi/Documents/EP01/paper/"/>
    </mc:Choice>
  </mc:AlternateContent>
  <xr:revisionPtr revIDLastSave="0" documentId="13_ncr:1_{85F28239-0A1F-0744-9C9F-66827FC1D4C0}" xr6:coauthVersionLast="45" xr6:coauthVersionMax="45" xr10:uidLastSave="{00000000-0000-0000-0000-000000000000}"/>
  <bookViews>
    <workbookView xWindow="0" yWindow="460" windowWidth="28800" windowHeight="16120" xr2:uid="{00000000-000D-0000-FFFF-FFFF00000000}"/>
  </bookViews>
  <sheets>
    <sheet name="多元化素材-传播规划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3" l="1"/>
  <c r="J29" i="3"/>
  <c r="I29" i="3"/>
  <c r="H29" i="3"/>
</calcChain>
</file>

<file path=xl/sharedStrings.xml><?xml version="1.0" encoding="utf-8"?>
<sst xmlns="http://schemas.openxmlformats.org/spreadsheetml/2006/main" count="143" uniqueCount="105">
  <si>
    <t>奥迪官方直播第一期 传播规划</t>
  </si>
  <si>
    <t>时间</t>
  </si>
  <si>
    <t>目前状态</t>
  </si>
  <si>
    <t>内容方向</t>
  </si>
  <si>
    <t>描述</t>
  </si>
  <si>
    <t>数量规划</t>
  </si>
  <si>
    <t>传播渠道</t>
  </si>
  <si>
    <t>内宣渠道</t>
  </si>
  <si>
    <t>阶段</t>
  </si>
  <si>
    <t>日期</t>
  </si>
  <si>
    <t>发布时间段</t>
  </si>
  <si>
    <t>规格/时长</t>
  </si>
  <si>
    <t>海报</t>
  </si>
  <si>
    <t>长图</t>
  </si>
  <si>
    <t>视频</t>
  </si>
  <si>
    <t>直播前
预热阶段</t>
  </si>
  <si>
    <t>上午</t>
  </si>
  <si>
    <t>done</t>
  </si>
  <si>
    <t>平台开播预告</t>
  </si>
  <si>
    <t>抖音静态3秒开屏（11.14-16三天），跳转官方抖音，奥迪频道预热视频</t>
  </si>
  <si>
    <t>横版</t>
  </si>
  <si>
    <t>官方全平台
经销商抖音转发联动</t>
  </si>
  <si>
    <r>
      <rPr>
        <sz val="11"/>
        <rFont val="等线"/>
        <charset val="134"/>
      </rPr>
      <t>√</t>
    </r>
    <r>
      <rPr>
        <sz val="11"/>
        <rFont val="微软雅黑"/>
        <charset val="134"/>
      </rPr>
      <t xml:space="preserve">平面类: 内部员工电脑屏保、桌面壁纸等
</t>
    </r>
    <r>
      <rPr>
        <sz val="11"/>
        <rFont val="华文宋体"/>
        <charset val="134"/>
      </rPr>
      <t>√</t>
    </r>
    <r>
      <rPr>
        <sz val="11"/>
        <rFont val="微软雅黑"/>
        <charset val="134"/>
      </rPr>
      <t>视频类: 办公楼电视、电梯电视、食堂电视等
√公司内部平台：一汽-大众电视台、一汽-大众官方平台</t>
    </r>
  </si>
  <si>
    <t xml:space="preserve">上午
</t>
  </si>
  <si>
    <t>第一期主题亮点预热平面</t>
  </si>
  <si>
    <t>直播预热海报，平台概念海报加二维码</t>
  </si>
  <si>
    <t>竖版</t>
  </si>
  <si>
    <t>朋友圈</t>
  </si>
  <si>
    <t>第一期亮点长图</t>
  </si>
  <si>
    <t>待确认</t>
  </si>
  <si>
    <t>内容看点预热短视频</t>
  </si>
  <si>
    <t>15s滑板篇预热视频</t>
  </si>
  <si>
    <t>官方抖音，双微、朋友圈</t>
  </si>
  <si>
    <t>#Audi Channel开播啦#一博的联名潮流单品来了！
16日晚8点，关注奥迪官方直播间，就有机会get哦~</t>
  </si>
  <si>
    <t>下午</t>
  </si>
  <si>
    <t>已有初版</t>
  </si>
  <si>
    <t>15s灵笼篇预热视频</t>
  </si>
  <si>
    <t>官方抖音，双微，灵笼官抖、粉丝群</t>
  </si>
  <si>
    <t>晚上</t>
  </si>
  <si>
    <t>由其他部门提供</t>
  </si>
  <si>
    <t>王一博限量款A3官宣</t>
  </si>
  <si>
    <t>王一博限量版A3官宣、直播预告视频</t>
  </si>
  <si>
    <t>奥迪官方全平台，微博热搜
（创意团队提供视频）</t>
  </si>
  <si>
    <t>抖音Toplive亮点混剪预热短视频</t>
  </si>
  <si>
    <t>亮点混剪+李晨ID视频混剪</t>
  </si>
  <si>
    <t>媒介推流8点上线抖音</t>
  </si>
  <si>
    <t>Toplive亮点混剪预热短视频</t>
  </si>
  <si>
    <t>官方微博发送，李晨配合转发</t>
  </si>
  <si>
    <t>第一期主题概念预热</t>
  </si>
  <si>
    <t>奥迪 X Z世代的异想世界
主题概念预热视频</t>
  </si>
  <si>
    <t>修改中</t>
  </si>
  <si>
    <t>直播预热海报2</t>
  </si>
  <si>
    <t>嘉宾阵容海报
（直播入口、时间等信息预告）</t>
  </si>
  <si>
    <t>灵笼环节后</t>
  </si>
  <si>
    <t>未提交</t>
  </si>
  <si>
    <t>亮点长图
（直播中实时分享至媒体群，
直播后再发官方渠道）</t>
  </si>
  <si>
    <t>奥迪好玩——
奥迪支持《灵笼》国漫崛起长图</t>
  </si>
  <si>
    <t>滑板环节后</t>
  </si>
  <si>
    <t>奥迪好物——奥迪概念车及王一博联名滑板长图</t>
  </si>
  <si>
    <t>联名A3环节后</t>
  </si>
  <si>
    <t>奥迪好惊喜——联名限量款奥迪A3长图</t>
  </si>
  <si>
    <t>直播后
二次传播</t>
  </si>
  <si>
    <t>直播结束后</t>
  </si>
  <si>
    <t>媒体新闻资料夹</t>
  </si>
  <si>
    <t>（包含新闻稿、3篇背景资料、传播素材）</t>
  </si>
  <si>
    <t>精彩VCR</t>
  </si>
  <si>
    <t>开场VCR</t>
  </si>
  <si>
    <t>官方抖音、官方视频号</t>
  </si>
  <si>
    <t>灵笼环节精彩VCR</t>
  </si>
  <si>
    <t>滑板VCR</t>
  </si>
  <si>
    <t>科幻成真-联名款A3环节精彩VCR</t>
  </si>
  <si>
    <t>直播精彩片段</t>
  </si>
  <si>
    <r>
      <rPr>
        <sz val="11"/>
        <color theme="1"/>
        <rFont val="微软雅黑"/>
        <charset val="134"/>
      </rPr>
      <t>各个环节3-</t>
    </r>
    <r>
      <rPr>
        <sz val="11"/>
        <color theme="1"/>
        <rFont val="微软雅黑"/>
        <charset val="134"/>
      </rPr>
      <t>5</t>
    </r>
  </si>
  <si>
    <t>直播图片</t>
  </si>
  <si>
    <t>精彩图片集锦</t>
  </si>
  <si>
    <t>多张</t>
  </si>
  <si>
    <t>内容已产出，设计中</t>
  </si>
  <si>
    <t>数据战报</t>
  </si>
  <si>
    <t>直播后的数据战报长图</t>
  </si>
  <si>
    <t>官方微博、朋友圈</t>
  </si>
  <si>
    <t>完整正片</t>
  </si>
  <si>
    <t>直播全程*1+各个环节*3</t>
  </si>
  <si>
    <t>官方B站</t>
  </si>
  <si>
    <t>精彩瞬间15s Cut</t>
  </si>
  <si>
    <t>好玩*1+好物*1+好惊喜*1</t>
  </si>
  <si>
    <t>朋友圈，内宣</t>
  </si>
  <si>
    <t>精彩瞬间1min Cut</t>
  </si>
  <si>
    <t>好玩好物好惊喜</t>
  </si>
  <si>
    <t>官方抖音、视频号</t>
  </si>
  <si>
    <t>媒体报道</t>
  </si>
  <si>
    <t>破圈媒体报道</t>
  </si>
  <si>
    <t>小计</t>
  </si>
  <si>
    <t>总计</t>
  </si>
  <si>
    <t>参考文案</t>
    <phoneticPr fontId="12" type="noConversion"/>
  </si>
  <si>
    <r>
      <t xml:space="preserve">朋友圈
（晚22:00以后 </t>
    </r>
    <r>
      <rPr>
        <sz val="11"/>
        <color theme="1"/>
        <rFont val="微软雅黑"/>
        <charset val="134"/>
      </rPr>
      <t>奥迪公众号二条）</t>
    </r>
    <phoneticPr fontId="12" type="noConversion"/>
  </si>
  <si>
    <t>互动发布</t>
    <phoneticPr fontId="12" type="noConversion"/>
  </si>
  <si>
    <r>
      <t>#AudiChannel开播啦</t>
    </r>
    <r>
      <rPr>
        <sz val="11"/>
        <rFont val="微软雅黑"/>
        <family val="2"/>
        <charset val="134"/>
      </rPr>
      <t xml:space="preserve"> </t>
    </r>
    <r>
      <rPr>
        <sz val="11"/>
        <rFont val="微软雅黑"/>
        <charset val="134"/>
      </rPr>
      <t>好玩好物好惊喜，16日晚8点，奥迪官方直播间等你！</t>
    </r>
    <phoneticPr fontId="12" type="noConversion"/>
  </si>
  <si>
    <t>#AudiChannel开播啦#
爆款国漫独家剧透，一博联名滑板宠粉放送，一博专属座驾限时秒杀…“四环次元”震撼开启 释放无限引力
今晚20：00，敬请关注奥迪抖音官方直播间</t>
    <phoneticPr fontId="12" type="noConversion"/>
  </si>
  <si>
    <t>#Audi Channel开播啦#
现象级国漫IP幕后分享
全能偶像潮流单品惊喜出街
更有神秘定制款豪华座驾限时秒杀
16日晚20:00，奥迪官方抖音直播间 不见不散！</t>
    <phoneticPr fontId="12" type="noConversion"/>
  </si>
  <si>
    <t>#Audi Channel开播啦#
豪华汽车品牌
首个生活方式“种草”类直播平台
Audi Channel 即将惊喜上线
16日晚20:00 奥迪官方抖音直播间 不见不散！</t>
    <phoneticPr fontId="12" type="noConversion"/>
  </si>
  <si>
    <t>#AudiChannel开播啦#
看 奥迪首位虚拟女车主白月魁冲破四环次元
听《灵笼》主创独家硬核爆料
抢《灵笼》宠粉福利独家放送
16日晚8点  奥迪官方直播间等你！</t>
    <phoneticPr fontId="12" type="noConversion"/>
  </si>
  <si>
    <t>#AudiChannel开播啦#
快来关注奥迪抖音
领一博联名滑板
秒爱豆专属座驾
今晚20:00点奥迪官方直播间等你！</t>
    <phoneticPr fontId="12" type="noConversion"/>
  </si>
  <si>
    <t>#Audi Channel开播啦#
跨次元的超强阵容
破圈层的精彩对话
超惊喜的重磅福利
今晚20:00 奥迪官方抖音直播间等你！</t>
    <phoneticPr fontId="12" type="noConversion"/>
  </si>
  <si>
    <t xml:space="preserve">#AudiChannel开播啦#
………………
</t>
    <phoneticPr fontId="12" type="noConversion"/>
  </si>
  <si>
    <t>#AudiChannel开播啦#
奥迪×王一博定制滑板潮酷出街
奥迪中国设计师 武云舟
对话滑板头号玩家车霖
解读「Z世代」的潮流态度和未来出行理念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</si>
</sst>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8"/>
      <name val="微软雅黑"/>
      <charset val="134"/>
    </font>
    <font>
      <b/>
      <sz val="14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2"/>
      <color theme="1"/>
      <name val="等线"/>
      <charset val="134"/>
      <scheme val="minor"/>
    </font>
    <font>
      <sz val="9"/>
      <name val="微软雅黑"/>
      <charset val="134"/>
    </font>
    <font>
      <sz val="9"/>
      <color theme="1"/>
      <name val="微软雅黑"/>
      <charset val="134"/>
    </font>
    <font>
      <sz val="11"/>
      <name val="等线"/>
      <charset val="134"/>
    </font>
    <font>
      <sz val="11"/>
      <name val="华文宋体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1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90">
    <xf numFmtId="0" fontId="0" fillId="0" borderId="0" xfId="0"/>
    <xf numFmtId="0" fontId="1" fillId="0" borderId="0" xfId="1">
      <alignment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58" fontId="5" fillId="0" borderId="1" xfId="1" applyNumberFormat="1" applyFont="1" applyFill="1" applyBorder="1" applyAlignment="1">
      <alignment horizontal="center" vertical="center"/>
    </xf>
    <xf numFmtId="58" fontId="5" fillId="0" borderId="2" xfId="1" applyNumberFormat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58" fontId="5" fillId="5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58" fontId="5" fillId="0" borderId="1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58" fontId="5" fillId="0" borderId="2" xfId="1" applyNumberFormat="1" applyFont="1" applyFill="1" applyBorder="1" applyAlignment="1">
      <alignment horizontal="center" vertical="center" wrapText="1"/>
    </xf>
    <xf numFmtId="58" fontId="5" fillId="0" borderId="3" xfId="1" applyNumberFormat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vertical="center"/>
    </xf>
    <xf numFmtId="0" fontId="6" fillId="6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left" vertical="center"/>
    </xf>
    <xf numFmtId="0" fontId="5" fillId="0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left" vertical="center" wrapText="1"/>
    </xf>
    <xf numFmtId="58" fontId="5" fillId="7" borderId="3" xfId="1" applyNumberFormat="1" applyFont="1" applyFill="1" applyBorder="1" applyAlignment="1">
      <alignment horizontal="center" vertical="center"/>
    </xf>
    <xf numFmtId="58" fontId="5" fillId="7" borderId="1" xfId="1" applyNumberFormat="1" applyFont="1" applyFill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/>
    </xf>
    <xf numFmtId="0" fontId="13" fillId="7" borderId="1" xfId="1" applyFont="1" applyFill="1" applyBorder="1" applyAlignment="1">
      <alignment horizontal="left" vertical="center"/>
    </xf>
    <xf numFmtId="58" fontId="5" fillId="8" borderId="1" xfId="1" applyNumberFormat="1" applyFont="1" applyFill="1" applyBorder="1" applyAlignment="1">
      <alignment horizontal="center" vertical="center"/>
    </xf>
    <xf numFmtId="58" fontId="5" fillId="8" borderId="2" xfId="1" applyNumberFormat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15" fillId="8" borderId="1" xfId="1" applyFont="1" applyFill="1" applyBorder="1" applyAlignment="1">
      <alignment horizontal="left" vertical="center" wrapText="1"/>
    </xf>
    <xf numFmtId="0" fontId="1" fillId="8" borderId="0" xfId="1" applyFill="1">
      <alignment vertical="center"/>
    </xf>
    <xf numFmtId="0" fontId="5" fillId="8" borderId="1" xfId="1" applyFont="1" applyFill="1" applyBorder="1" applyAlignment="1">
      <alignment horizontal="center" vertical="center" wrapText="1"/>
    </xf>
    <xf numFmtId="0" fontId="13" fillId="8" borderId="1" xfId="1" applyFont="1" applyFill="1" applyBorder="1" applyAlignment="1">
      <alignment horizontal="left" vertical="center" wrapText="1"/>
    </xf>
    <xf numFmtId="0" fontId="13" fillId="8" borderId="1" xfId="1" applyFont="1" applyFill="1" applyBorder="1" applyAlignment="1">
      <alignment horizontal="center" vertical="center" wrapText="1"/>
    </xf>
    <xf numFmtId="0" fontId="5" fillId="8" borderId="2" xfId="1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horizontal="center" vertical="center"/>
    </xf>
    <xf numFmtId="0" fontId="5" fillId="8" borderId="1" xfId="1" applyFont="1" applyFill="1" applyBorder="1" applyAlignment="1">
      <alignment horizontal="left" vertical="center" wrapText="1"/>
    </xf>
    <xf numFmtId="58" fontId="5" fillId="8" borderId="1" xfId="1" applyNumberFormat="1" applyFont="1" applyFill="1" applyBorder="1" applyAlignment="1">
      <alignment horizontal="center" vertical="center" wrapText="1"/>
    </xf>
    <xf numFmtId="58" fontId="5" fillId="0" borderId="2" xfId="1" applyNumberFormat="1" applyFont="1" applyFill="1" applyBorder="1" applyAlignment="1">
      <alignment horizontal="center" vertical="center"/>
    </xf>
    <xf numFmtId="58" fontId="5" fillId="0" borderId="4" xfId="1" applyNumberFormat="1" applyFont="1" applyFill="1" applyBorder="1" applyAlignment="1">
      <alignment horizontal="center" vertical="center"/>
    </xf>
    <xf numFmtId="58" fontId="5" fillId="0" borderId="3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14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13" fillId="8" borderId="2" xfId="1" applyFont="1" applyFill="1" applyBorder="1" applyAlignment="1">
      <alignment horizontal="left" vertical="center" wrapText="1"/>
    </xf>
    <xf numFmtId="0" fontId="5" fillId="8" borderId="3" xfId="1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/>
    </xf>
    <xf numFmtId="0" fontId="5" fillId="8" borderId="2" xfId="1" applyFont="1" applyFill="1" applyBorder="1" applyAlignment="1">
      <alignment horizontal="center" vertical="center" wrapText="1"/>
    </xf>
    <xf numFmtId="0" fontId="5" fillId="8" borderId="4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58" fontId="5" fillId="0" borderId="1" xfId="1" applyNumberFormat="1" applyFont="1" applyFill="1" applyBorder="1" applyAlignment="1">
      <alignment horizontal="center" vertical="center" wrapText="1"/>
    </xf>
    <xf numFmtId="58" fontId="5" fillId="8" borderId="1" xfId="1" applyNumberFormat="1" applyFont="1" applyFill="1" applyBorder="1" applyAlignment="1">
      <alignment horizontal="center" vertical="center" wrapText="1"/>
    </xf>
    <xf numFmtId="20" fontId="5" fillId="0" borderId="2" xfId="1" applyNumberFormat="1" applyFont="1" applyFill="1" applyBorder="1" applyAlignment="1">
      <alignment horizontal="center" vertical="center"/>
    </xf>
    <xf numFmtId="20" fontId="5" fillId="0" borderId="4" xfId="1" applyNumberFormat="1" applyFont="1" applyFill="1" applyBorder="1" applyAlignment="1">
      <alignment horizontal="center" vertical="center"/>
    </xf>
    <xf numFmtId="20" fontId="5" fillId="0" borderId="3" xfId="1" applyNumberFormat="1" applyFont="1" applyFill="1" applyBorder="1" applyAlignment="1">
      <alignment horizontal="center" vertical="center"/>
    </xf>
    <xf numFmtId="58" fontId="5" fillId="0" borderId="2" xfId="1" applyNumberFormat="1" applyFont="1" applyFill="1" applyBorder="1" applyAlignment="1">
      <alignment horizontal="center" vertical="center" wrapText="1"/>
    </xf>
    <xf numFmtId="58" fontId="5" fillId="0" borderId="4" xfId="1" applyNumberFormat="1" applyFont="1" applyFill="1" applyBorder="1" applyAlignment="1">
      <alignment horizontal="center" vertical="center" wrapText="1"/>
    </xf>
    <xf numFmtId="58" fontId="5" fillId="0" borderId="3" xfId="1" applyNumberFormat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58" fontId="5" fillId="9" borderId="1" xfId="1" applyNumberFormat="1" applyFont="1" applyFill="1" applyBorder="1" applyAlignment="1">
      <alignment horizontal="center" vertical="center"/>
    </xf>
    <xf numFmtId="0" fontId="5" fillId="9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left" vertical="center" wrapText="1"/>
    </xf>
    <xf numFmtId="58" fontId="5" fillId="9" borderId="3" xfId="1" applyNumberFormat="1" applyFont="1" applyFill="1" applyBorder="1" applyAlignment="1">
      <alignment horizontal="center" vertical="center"/>
    </xf>
    <xf numFmtId="58" fontId="5" fillId="9" borderId="2" xfId="1" applyNumberFormat="1" applyFont="1" applyFill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 wrapText="1"/>
    </xf>
    <xf numFmtId="0" fontId="15" fillId="9" borderId="1" xfId="1" applyFont="1" applyFill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showGridLines="0" tabSelected="1" topLeftCell="A8" zoomScale="87" zoomScaleNormal="80" workbookViewId="0">
      <selection activeCell="C8" sqref="C8:L8"/>
    </sheetView>
  </sheetViews>
  <sheetFormatPr baseColWidth="10" defaultColWidth="9" defaultRowHeight="15"/>
  <cols>
    <col min="1" max="1" width="8.1640625" style="1" customWidth="1"/>
    <col min="2" max="2" width="10.33203125" style="1" customWidth="1"/>
    <col min="3" max="3" width="13.6640625" style="1" customWidth="1"/>
    <col min="4" max="4" width="14.5" style="1" customWidth="1"/>
    <col min="5" max="5" width="22" style="1" customWidth="1"/>
    <col min="6" max="6" width="33.5" style="1" customWidth="1"/>
    <col min="7" max="7" width="11.33203125" style="1" customWidth="1"/>
    <col min="8" max="8" width="5.83203125" style="1" customWidth="1"/>
    <col min="9" max="9" width="5.6640625" style="1" customWidth="1"/>
    <col min="10" max="10" width="6.33203125" style="1" customWidth="1"/>
    <col min="11" max="11" width="31.83203125" style="1" customWidth="1"/>
    <col min="12" max="12" width="54.33203125" style="1" customWidth="1"/>
    <col min="13" max="13" width="21.1640625" style="1" customWidth="1"/>
    <col min="14" max="16384" width="9" style="1"/>
  </cols>
  <sheetData>
    <row r="1" spans="1:13" ht="51" customHeight="1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ht="25" customHeight="1">
      <c r="A2" s="61" t="s">
        <v>1</v>
      </c>
      <c r="B2" s="61"/>
      <c r="C2" s="61"/>
      <c r="D2" s="80" t="s">
        <v>2</v>
      </c>
      <c r="E2" s="61" t="s">
        <v>3</v>
      </c>
      <c r="F2" s="61" t="s">
        <v>4</v>
      </c>
      <c r="G2" s="2"/>
      <c r="H2" s="52" t="s">
        <v>5</v>
      </c>
      <c r="I2" s="52"/>
      <c r="J2" s="52"/>
      <c r="K2" s="52" t="s">
        <v>6</v>
      </c>
      <c r="L2" s="56" t="s">
        <v>93</v>
      </c>
      <c r="M2" s="52" t="s">
        <v>7</v>
      </c>
    </row>
    <row r="3" spans="1:13" ht="22.5" customHeight="1">
      <c r="A3" s="2" t="s">
        <v>8</v>
      </c>
      <c r="B3" s="2" t="s">
        <v>9</v>
      </c>
      <c r="C3" s="2" t="s">
        <v>10</v>
      </c>
      <c r="D3" s="81"/>
      <c r="E3" s="61"/>
      <c r="F3" s="61"/>
      <c r="G3" s="2" t="s">
        <v>11</v>
      </c>
      <c r="H3" s="2" t="s">
        <v>12</v>
      </c>
      <c r="I3" s="2" t="s">
        <v>13</v>
      </c>
      <c r="J3" s="3" t="s">
        <v>14</v>
      </c>
      <c r="K3" s="52"/>
      <c r="L3" s="57"/>
      <c r="M3" s="52"/>
    </row>
    <row r="4" spans="1:13" s="41" customFormat="1" ht="45.25" customHeight="1">
      <c r="A4" s="69" t="s">
        <v>15</v>
      </c>
      <c r="B4" s="36">
        <v>44149</v>
      </c>
      <c r="C4" s="36" t="s">
        <v>16</v>
      </c>
      <c r="D4" s="37" t="s">
        <v>17</v>
      </c>
      <c r="E4" s="38" t="s">
        <v>18</v>
      </c>
      <c r="F4" s="39" t="s">
        <v>19</v>
      </c>
      <c r="G4" s="39" t="s">
        <v>20</v>
      </c>
      <c r="H4" s="38"/>
      <c r="I4" s="38"/>
      <c r="J4" s="39">
        <v>1</v>
      </c>
      <c r="K4" s="39" t="s">
        <v>21</v>
      </c>
      <c r="L4" s="40" t="s">
        <v>96</v>
      </c>
      <c r="M4" s="60" t="s">
        <v>22</v>
      </c>
    </row>
    <row r="5" spans="1:13" s="41" customFormat="1" ht="95.25" customHeight="1">
      <c r="A5" s="69"/>
      <c r="B5" s="49">
        <v>44150</v>
      </c>
      <c r="C5" s="73" t="s">
        <v>23</v>
      </c>
      <c r="D5" s="37" t="s">
        <v>17</v>
      </c>
      <c r="E5" s="62" t="s">
        <v>24</v>
      </c>
      <c r="F5" s="39" t="s">
        <v>25</v>
      </c>
      <c r="G5" s="39" t="s">
        <v>26</v>
      </c>
      <c r="H5" s="42">
        <v>1</v>
      </c>
      <c r="I5" s="42"/>
      <c r="J5" s="42"/>
      <c r="K5" s="42" t="s">
        <v>27</v>
      </c>
      <c r="L5" s="43" t="s">
        <v>99</v>
      </c>
      <c r="M5" s="60"/>
    </row>
    <row r="6" spans="1:13" s="41" customFormat="1" ht="103.5" customHeight="1">
      <c r="A6" s="69"/>
      <c r="B6" s="50"/>
      <c r="C6" s="73"/>
      <c r="D6" s="36" t="s">
        <v>17</v>
      </c>
      <c r="E6" s="63"/>
      <c r="F6" s="42" t="s">
        <v>28</v>
      </c>
      <c r="G6" s="42" t="s">
        <v>26</v>
      </c>
      <c r="H6" s="42"/>
      <c r="I6" s="42">
        <v>1</v>
      </c>
      <c r="J6" s="42"/>
      <c r="K6" s="44" t="s">
        <v>94</v>
      </c>
      <c r="L6" s="43" t="s">
        <v>98</v>
      </c>
      <c r="M6" s="60"/>
    </row>
    <row r="7" spans="1:13" s="41" customFormat="1" ht="60" customHeight="1">
      <c r="A7" s="69"/>
      <c r="B7" s="50"/>
      <c r="C7" s="73"/>
      <c r="D7" s="37" t="s">
        <v>29</v>
      </c>
      <c r="E7" s="45" t="s">
        <v>30</v>
      </c>
      <c r="F7" s="42" t="s">
        <v>31</v>
      </c>
      <c r="G7" s="42" t="s">
        <v>20</v>
      </c>
      <c r="H7" s="42"/>
      <c r="I7" s="42"/>
      <c r="J7" s="46">
        <v>1</v>
      </c>
      <c r="K7" s="42" t="s">
        <v>32</v>
      </c>
      <c r="L7" s="47" t="s">
        <v>33</v>
      </c>
      <c r="M7" s="60"/>
    </row>
    <row r="8" spans="1:13" ht="94" customHeight="1">
      <c r="A8" s="69"/>
      <c r="B8" s="50"/>
      <c r="C8" s="86" t="s">
        <v>34</v>
      </c>
      <c r="D8" s="87" t="s">
        <v>35</v>
      </c>
      <c r="E8" s="88" t="s">
        <v>30</v>
      </c>
      <c r="F8" s="83" t="s">
        <v>36</v>
      </c>
      <c r="G8" s="83" t="s">
        <v>20</v>
      </c>
      <c r="H8" s="83"/>
      <c r="I8" s="83"/>
      <c r="J8" s="83">
        <v>1</v>
      </c>
      <c r="K8" s="84" t="s">
        <v>37</v>
      </c>
      <c r="L8" s="89" t="s">
        <v>100</v>
      </c>
      <c r="M8" s="60"/>
    </row>
    <row r="9" spans="1:13" ht="74.5" customHeight="1">
      <c r="A9" s="69"/>
      <c r="B9" s="51"/>
      <c r="C9" s="31" t="s">
        <v>38</v>
      </c>
      <c r="D9" s="32" t="s">
        <v>39</v>
      </c>
      <c r="E9" s="33" t="s">
        <v>40</v>
      </c>
      <c r="F9" s="33" t="s">
        <v>41</v>
      </c>
      <c r="G9" s="33"/>
      <c r="H9" s="33"/>
      <c r="I9" s="33"/>
      <c r="J9" s="34">
        <v>1</v>
      </c>
      <c r="K9" s="33" t="s">
        <v>42</v>
      </c>
      <c r="L9" s="35" t="s">
        <v>95</v>
      </c>
      <c r="M9" s="60"/>
    </row>
    <row r="10" spans="1:13" s="41" customFormat="1" ht="74.5" customHeight="1">
      <c r="A10" s="69"/>
      <c r="B10" s="49">
        <v>44151</v>
      </c>
      <c r="C10" s="74" t="s">
        <v>16</v>
      </c>
      <c r="D10" s="37" t="s">
        <v>17</v>
      </c>
      <c r="E10" s="42" t="s">
        <v>43</v>
      </c>
      <c r="F10" s="48" t="s">
        <v>44</v>
      </c>
      <c r="G10" s="48" t="s">
        <v>26</v>
      </c>
      <c r="H10" s="39"/>
      <c r="I10" s="48"/>
      <c r="J10" s="46">
        <v>1</v>
      </c>
      <c r="K10" s="42" t="s">
        <v>45</v>
      </c>
      <c r="L10" s="58" t="s">
        <v>101</v>
      </c>
      <c r="M10" s="60"/>
    </row>
    <row r="11" spans="1:13" s="41" customFormat="1" ht="63.75" customHeight="1">
      <c r="A11" s="69"/>
      <c r="B11" s="50"/>
      <c r="C11" s="75"/>
      <c r="D11" s="37" t="s">
        <v>17</v>
      </c>
      <c r="E11" s="45" t="s">
        <v>46</v>
      </c>
      <c r="F11" s="48" t="s">
        <v>44</v>
      </c>
      <c r="G11" s="48" t="s">
        <v>26</v>
      </c>
      <c r="H11" s="39"/>
      <c r="I11" s="48"/>
      <c r="J11" s="46">
        <v>1</v>
      </c>
      <c r="K11" s="42" t="s">
        <v>47</v>
      </c>
      <c r="L11" s="59"/>
      <c r="M11" s="60"/>
    </row>
    <row r="12" spans="1:13" ht="127.5" customHeight="1">
      <c r="A12" s="69"/>
      <c r="B12" s="50"/>
      <c r="C12" s="76"/>
      <c r="D12" s="5" t="s">
        <v>29</v>
      </c>
      <c r="E12" s="9" t="s">
        <v>48</v>
      </c>
      <c r="F12" s="8" t="s">
        <v>49</v>
      </c>
      <c r="G12" s="7" t="s">
        <v>20</v>
      </c>
      <c r="H12" s="6"/>
      <c r="I12" s="6"/>
      <c r="J12" s="7">
        <v>1</v>
      </c>
      <c r="K12" s="7" t="s">
        <v>27</v>
      </c>
      <c r="L12" s="30" t="s">
        <v>97</v>
      </c>
      <c r="M12" s="60"/>
    </row>
    <row r="13" spans="1:13" ht="140" customHeight="1">
      <c r="A13" s="69"/>
      <c r="B13" s="50"/>
      <c r="C13" s="4" t="s">
        <v>34</v>
      </c>
      <c r="D13" s="82" t="s">
        <v>50</v>
      </c>
      <c r="E13" s="83" t="s">
        <v>51</v>
      </c>
      <c r="F13" s="83" t="s">
        <v>52</v>
      </c>
      <c r="G13" s="83" t="s">
        <v>26</v>
      </c>
      <c r="H13" s="83">
        <v>1</v>
      </c>
      <c r="I13" s="83"/>
      <c r="J13" s="84"/>
      <c r="K13" s="84" t="s">
        <v>27</v>
      </c>
      <c r="L13" s="85" t="s">
        <v>102</v>
      </c>
      <c r="M13" s="60"/>
    </row>
    <row r="14" spans="1:13" ht="102" customHeight="1">
      <c r="A14" s="70"/>
      <c r="B14" s="50"/>
      <c r="C14" s="4" t="s">
        <v>53</v>
      </c>
      <c r="D14" s="4" t="s">
        <v>54</v>
      </c>
      <c r="E14" s="64" t="s">
        <v>55</v>
      </c>
      <c r="F14" s="12" t="s">
        <v>56</v>
      </c>
      <c r="G14" s="12"/>
      <c r="H14" s="12"/>
      <c r="I14" s="25">
        <v>1</v>
      </c>
      <c r="J14" s="25"/>
      <c r="K14" s="23" t="s">
        <v>27</v>
      </c>
      <c r="L14" s="30" t="s">
        <v>103</v>
      </c>
      <c r="M14" s="60"/>
    </row>
    <row r="15" spans="1:13" ht="97" customHeight="1">
      <c r="A15" s="70"/>
      <c r="B15" s="50"/>
      <c r="C15" s="4" t="s">
        <v>57</v>
      </c>
      <c r="D15" s="4" t="s">
        <v>54</v>
      </c>
      <c r="E15" s="65"/>
      <c r="F15" s="12" t="s">
        <v>58</v>
      </c>
      <c r="G15" s="12"/>
      <c r="H15" s="12"/>
      <c r="I15" s="25">
        <v>1</v>
      </c>
      <c r="J15" s="25"/>
      <c r="K15" s="23" t="s">
        <v>27</v>
      </c>
      <c r="L15" s="22" t="s">
        <v>104</v>
      </c>
      <c r="M15" s="60"/>
    </row>
    <row r="16" spans="1:13" ht="45.25" customHeight="1">
      <c r="A16" s="70"/>
      <c r="B16" s="50"/>
      <c r="C16" s="5" t="s">
        <v>59</v>
      </c>
      <c r="D16" s="10" t="s">
        <v>39</v>
      </c>
      <c r="E16" s="66"/>
      <c r="F16" s="15" t="s">
        <v>60</v>
      </c>
      <c r="G16" s="12"/>
      <c r="H16" s="12"/>
      <c r="I16" s="25">
        <v>1</v>
      </c>
      <c r="J16" s="25"/>
      <c r="K16" s="23" t="s">
        <v>27</v>
      </c>
      <c r="L16" s="24" t="s">
        <v>39</v>
      </c>
      <c r="M16" s="60"/>
    </row>
    <row r="17" spans="1:13" ht="45.75" customHeight="1">
      <c r="A17" s="70" t="s">
        <v>61</v>
      </c>
      <c r="B17" s="50"/>
      <c r="C17" s="77" t="s">
        <v>62</v>
      </c>
      <c r="D17" s="16"/>
      <c r="E17" s="14" t="s">
        <v>63</v>
      </c>
      <c r="F17" s="12" t="s">
        <v>64</v>
      </c>
      <c r="G17" s="12"/>
      <c r="H17" s="12"/>
      <c r="I17" s="25"/>
      <c r="J17" s="25"/>
      <c r="K17" s="23"/>
      <c r="L17" s="26"/>
      <c r="M17" s="60"/>
    </row>
    <row r="18" spans="1:13" ht="45.75" customHeight="1">
      <c r="A18" s="70"/>
      <c r="B18" s="50"/>
      <c r="C18" s="78"/>
      <c r="D18" s="16"/>
      <c r="E18" s="64" t="s">
        <v>65</v>
      </c>
      <c r="F18" s="12" t="s">
        <v>66</v>
      </c>
      <c r="G18" s="12" t="s">
        <v>20</v>
      </c>
      <c r="H18" s="13"/>
      <c r="I18" s="12"/>
      <c r="J18" s="23">
        <v>1</v>
      </c>
      <c r="K18" s="53" t="s">
        <v>67</v>
      </c>
      <c r="L18" s="22"/>
      <c r="M18" s="60"/>
    </row>
    <row r="19" spans="1:13" ht="45.75" customHeight="1">
      <c r="A19" s="70"/>
      <c r="B19" s="50"/>
      <c r="C19" s="78"/>
      <c r="D19" s="16"/>
      <c r="E19" s="65"/>
      <c r="F19" s="12" t="s">
        <v>68</v>
      </c>
      <c r="G19" s="12" t="s">
        <v>20</v>
      </c>
      <c r="H19" s="12"/>
      <c r="I19" s="25"/>
      <c r="J19" s="25">
        <v>1</v>
      </c>
      <c r="K19" s="54"/>
      <c r="L19" s="21"/>
      <c r="M19" s="60"/>
    </row>
    <row r="20" spans="1:13" ht="45.75" customHeight="1">
      <c r="A20" s="70"/>
      <c r="B20" s="50"/>
      <c r="C20" s="78"/>
      <c r="D20" s="16"/>
      <c r="E20" s="65"/>
      <c r="F20" s="12" t="s">
        <v>69</v>
      </c>
      <c r="G20" s="12" t="s">
        <v>20</v>
      </c>
      <c r="H20" s="12"/>
      <c r="I20" s="25"/>
      <c r="J20" s="25">
        <v>1</v>
      </c>
      <c r="K20" s="54"/>
      <c r="L20" s="26"/>
      <c r="M20" s="60"/>
    </row>
    <row r="21" spans="1:13" ht="45.75" customHeight="1">
      <c r="A21" s="70"/>
      <c r="B21" s="50"/>
      <c r="C21" s="78"/>
      <c r="D21" s="16"/>
      <c r="E21" s="66"/>
      <c r="F21" s="12" t="s">
        <v>70</v>
      </c>
      <c r="G21" s="12" t="s">
        <v>20</v>
      </c>
      <c r="H21" s="12"/>
      <c r="I21" s="25"/>
      <c r="J21" s="25">
        <v>1</v>
      </c>
      <c r="K21" s="55"/>
      <c r="L21" s="26"/>
      <c r="M21" s="60"/>
    </row>
    <row r="22" spans="1:13" ht="45.25" customHeight="1">
      <c r="A22" s="70"/>
      <c r="B22" s="50"/>
      <c r="C22" s="78"/>
      <c r="D22" s="16"/>
      <c r="E22" s="11" t="s">
        <v>71</v>
      </c>
      <c r="F22" s="12" t="s">
        <v>72</v>
      </c>
      <c r="G22" s="12" t="s">
        <v>20</v>
      </c>
      <c r="H22" s="12"/>
      <c r="I22" s="25"/>
      <c r="J22" s="25">
        <v>5</v>
      </c>
      <c r="K22" s="23"/>
      <c r="L22" s="26"/>
      <c r="M22" s="60"/>
    </row>
    <row r="23" spans="1:13" ht="45.25" customHeight="1">
      <c r="A23" s="70"/>
      <c r="B23" s="51"/>
      <c r="C23" s="79"/>
      <c r="D23" s="17"/>
      <c r="E23" s="11" t="s">
        <v>73</v>
      </c>
      <c r="F23" s="12" t="s">
        <v>74</v>
      </c>
      <c r="G23" s="12" t="s">
        <v>20</v>
      </c>
      <c r="H23" s="12" t="s">
        <v>75</v>
      </c>
      <c r="I23" s="25"/>
      <c r="J23" s="25"/>
      <c r="K23" s="12" t="s">
        <v>27</v>
      </c>
      <c r="L23" s="26"/>
      <c r="M23" s="60"/>
    </row>
    <row r="24" spans="1:13" ht="45.25" customHeight="1">
      <c r="A24" s="70"/>
      <c r="B24" s="72">
        <v>44152</v>
      </c>
      <c r="C24" s="72" t="s">
        <v>16</v>
      </c>
      <c r="D24" s="12" t="s">
        <v>76</v>
      </c>
      <c r="E24" s="11" t="s">
        <v>77</v>
      </c>
      <c r="F24" s="12" t="s">
        <v>78</v>
      </c>
      <c r="G24" s="12"/>
      <c r="H24" s="12"/>
      <c r="I24" s="25">
        <v>1</v>
      </c>
      <c r="J24" s="27"/>
      <c r="K24" s="12" t="s">
        <v>79</v>
      </c>
      <c r="L24" s="27"/>
      <c r="M24" s="60"/>
    </row>
    <row r="25" spans="1:13" ht="45.25" customHeight="1">
      <c r="A25" s="70"/>
      <c r="B25" s="72"/>
      <c r="C25" s="72"/>
      <c r="D25" s="12"/>
      <c r="E25" s="11" t="s">
        <v>80</v>
      </c>
      <c r="F25" s="12" t="s">
        <v>81</v>
      </c>
      <c r="G25" s="12" t="s">
        <v>20</v>
      </c>
      <c r="H25" s="12"/>
      <c r="I25" s="25"/>
      <c r="J25" s="25">
        <v>4</v>
      </c>
      <c r="K25" s="12" t="s">
        <v>82</v>
      </c>
      <c r="L25" s="26"/>
      <c r="M25" s="60"/>
    </row>
    <row r="26" spans="1:13" ht="45.25" customHeight="1">
      <c r="A26" s="70"/>
      <c r="B26" s="72"/>
      <c r="C26" s="12" t="s">
        <v>34</v>
      </c>
      <c r="D26" s="12"/>
      <c r="E26" s="12" t="s">
        <v>83</v>
      </c>
      <c r="F26" s="12" t="s">
        <v>84</v>
      </c>
      <c r="G26" s="12" t="s">
        <v>20</v>
      </c>
      <c r="H26" s="12"/>
      <c r="I26" s="12"/>
      <c r="J26" s="23">
        <v>3</v>
      </c>
      <c r="K26" s="23" t="s">
        <v>85</v>
      </c>
      <c r="L26" s="26"/>
      <c r="M26" s="60"/>
    </row>
    <row r="27" spans="1:13" ht="45.25" customHeight="1">
      <c r="A27" s="70"/>
      <c r="B27" s="72">
        <v>44153</v>
      </c>
      <c r="C27" s="12" t="s">
        <v>16</v>
      </c>
      <c r="D27" s="12"/>
      <c r="E27" s="12" t="s">
        <v>86</v>
      </c>
      <c r="F27" s="12" t="s">
        <v>87</v>
      </c>
      <c r="G27" s="12" t="s">
        <v>20</v>
      </c>
      <c r="H27" s="12"/>
      <c r="I27" s="12"/>
      <c r="J27" s="23">
        <v>1</v>
      </c>
      <c r="K27" s="23" t="s">
        <v>88</v>
      </c>
      <c r="L27" s="26"/>
      <c r="M27" s="60"/>
    </row>
    <row r="28" spans="1:13" ht="45.25" customHeight="1">
      <c r="A28" s="71"/>
      <c r="B28" s="72"/>
      <c r="C28" s="12" t="s">
        <v>34</v>
      </c>
      <c r="D28" s="12"/>
      <c r="E28" s="12" t="s">
        <v>89</v>
      </c>
      <c r="F28" s="12" t="s">
        <v>90</v>
      </c>
      <c r="G28" s="12"/>
      <c r="H28" s="12"/>
      <c r="I28" s="12"/>
      <c r="J28" s="6"/>
      <c r="K28" s="6"/>
      <c r="L28" s="26"/>
      <c r="M28" s="60"/>
    </row>
    <row r="29" spans="1:13" ht="20" customHeight="1">
      <c r="A29" s="18"/>
      <c r="B29" s="18"/>
      <c r="C29" s="18"/>
      <c r="D29" s="18"/>
      <c r="E29" s="18"/>
      <c r="F29" s="19" t="s">
        <v>91</v>
      </c>
      <c r="G29" s="19"/>
      <c r="H29" s="20">
        <f>SUM(H4:H28)</f>
        <v>2</v>
      </c>
      <c r="I29" s="20">
        <f>SUM(I5:I28)</f>
        <v>5</v>
      </c>
      <c r="J29" s="20">
        <f>SUM(J5:J28)</f>
        <v>23</v>
      </c>
      <c r="K29" s="28"/>
      <c r="L29" s="28"/>
      <c r="M29" s="18"/>
    </row>
    <row r="30" spans="1:13" ht="20" customHeight="1">
      <c r="A30" s="18"/>
      <c r="B30" s="18"/>
      <c r="C30" s="18"/>
      <c r="D30" s="18"/>
      <c r="E30" s="18"/>
      <c r="F30" s="19" t="s">
        <v>92</v>
      </c>
      <c r="G30" s="19"/>
      <c r="H30" s="68">
        <f>H29+I29+J29</f>
        <v>30</v>
      </c>
      <c r="I30" s="68"/>
      <c r="J30" s="68"/>
      <c r="K30" s="29"/>
      <c r="L30" s="29"/>
      <c r="M30" s="18"/>
    </row>
  </sheetData>
  <mergeCells count="27">
    <mergeCell ref="A1:M1"/>
    <mergeCell ref="A2:C2"/>
    <mergeCell ref="H2:J2"/>
    <mergeCell ref="H30:J30"/>
    <mergeCell ref="A4:A13"/>
    <mergeCell ref="A14:A16"/>
    <mergeCell ref="A17:A28"/>
    <mergeCell ref="B5:B9"/>
    <mergeCell ref="B24:B26"/>
    <mergeCell ref="B27:B28"/>
    <mergeCell ref="C5:C7"/>
    <mergeCell ref="C10:C12"/>
    <mergeCell ref="C17:C23"/>
    <mergeCell ref="C24:C25"/>
    <mergeCell ref="D2:D3"/>
    <mergeCell ref="M2:M3"/>
    <mergeCell ref="M4:M28"/>
    <mergeCell ref="E2:E3"/>
    <mergeCell ref="E5:E6"/>
    <mergeCell ref="E14:E16"/>
    <mergeCell ref="E18:E21"/>
    <mergeCell ref="F2:F3"/>
    <mergeCell ref="B10:B23"/>
    <mergeCell ref="K2:K3"/>
    <mergeCell ref="K18:K21"/>
    <mergeCell ref="L2:L3"/>
    <mergeCell ref="L10:L11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多元化素材-传播规划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Liu.Lige</dc:creator>
  <cp:lastModifiedBy>Microsoft Office User</cp:lastModifiedBy>
  <cp:lastPrinted>2018-01-26T05:10:00Z</cp:lastPrinted>
  <dcterms:created xsi:type="dcterms:W3CDTF">2015-06-05T18:19:00Z</dcterms:created>
  <dcterms:modified xsi:type="dcterms:W3CDTF">2020-11-15T12:35:07Z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