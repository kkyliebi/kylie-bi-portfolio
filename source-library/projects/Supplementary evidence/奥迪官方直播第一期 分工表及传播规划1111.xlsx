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工作文件\2020\Audi Channel\官方直播\执行\"/>
    </mc:Choice>
  </mc:AlternateContent>
  <bookViews>
    <workbookView xWindow="0" yWindow="0" windowWidth="19815" windowHeight="8820" activeTab="1"/>
  </bookViews>
  <sheets>
    <sheet name="分工表" sheetId="1" r:id="rId1"/>
    <sheet name="传播规划" sheetId="2" r:id="rId2"/>
  </sheets>
  <calcPr calcId="162913"/>
</workbook>
</file>

<file path=xl/calcChain.xml><?xml version="1.0" encoding="utf-8"?>
<calcChain xmlns="http://schemas.openxmlformats.org/spreadsheetml/2006/main">
  <c r="I28" i="2" l="1"/>
  <c r="H28" i="2"/>
  <c r="G28" i="2"/>
  <c r="G29" i="2" l="1"/>
</calcChain>
</file>

<file path=xl/sharedStrings.xml><?xml version="1.0" encoding="utf-8"?>
<sst xmlns="http://schemas.openxmlformats.org/spreadsheetml/2006/main" count="273" uniqueCount="221">
  <si>
    <r>
      <rPr>
        <b/>
        <sz val="18"/>
        <rFont val="微软雅黑"/>
        <charset val="134"/>
      </rPr>
      <t>奥迪官方直播</t>
    </r>
    <r>
      <rPr>
        <b/>
        <sz val="18"/>
        <rFont val="Arial"/>
        <family val="2"/>
      </rPr>
      <t xml:space="preserve"> </t>
    </r>
    <r>
      <rPr>
        <b/>
        <sz val="18"/>
        <rFont val="微软雅黑"/>
        <charset val="134"/>
      </rPr>
      <t>第一期</t>
    </r>
    <r>
      <rPr>
        <b/>
        <sz val="18"/>
        <rFont val="Arial"/>
        <family val="2"/>
      </rPr>
      <t xml:space="preserve"> </t>
    </r>
    <r>
      <rPr>
        <b/>
        <sz val="18"/>
        <rFont val="微软雅黑"/>
        <charset val="134"/>
      </rPr>
      <t>工作分工表</t>
    </r>
  </si>
  <si>
    <t>工作内容</t>
  </si>
  <si>
    <r>
      <rPr>
        <b/>
        <sz val="14"/>
        <color theme="0"/>
        <rFont val="微软雅黑"/>
        <charset val="134"/>
      </rPr>
      <t>负责部门</t>
    </r>
  </si>
  <si>
    <r>
      <rPr>
        <b/>
        <sz val="14"/>
        <color theme="0"/>
        <rFont val="微软雅黑"/>
        <charset val="134"/>
      </rPr>
      <t>负责人</t>
    </r>
  </si>
  <si>
    <r>
      <rPr>
        <b/>
        <sz val="14"/>
        <color theme="0"/>
        <rFont val="微软雅黑"/>
        <charset val="134"/>
      </rPr>
      <t>代理公司负责人</t>
    </r>
  </si>
  <si>
    <r>
      <rPr>
        <b/>
        <sz val="14"/>
        <color theme="0"/>
        <rFont val="微软雅黑"/>
        <charset val="134"/>
      </rPr>
      <t>截至时间</t>
    </r>
  </si>
  <si>
    <t>上线时间</t>
  </si>
  <si>
    <r>
      <rPr>
        <b/>
        <sz val="14"/>
        <color theme="0"/>
        <rFont val="微软雅黑"/>
        <charset val="134"/>
      </rPr>
      <t>备注</t>
    </r>
  </si>
  <si>
    <r>
      <rPr>
        <b/>
        <sz val="11"/>
        <color theme="1"/>
        <rFont val="微软雅黑"/>
        <charset val="134"/>
      </rPr>
      <t>预热期</t>
    </r>
  </si>
  <si>
    <t>奥迪官方全平台预热</t>
  </si>
  <si>
    <r>
      <rPr>
        <sz val="11"/>
        <color theme="1"/>
        <rFont val="微软雅黑"/>
        <charset val="134"/>
      </rPr>
      <t>发布传播素材</t>
    </r>
  </si>
  <si>
    <t>内容营销部</t>
  </si>
  <si>
    <r>
      <rPr>
        <sz val="11"/>
        <color theme="1"/>
        <rFont val="微软雅黑"/>
        <charset val="134"/>
      </rPr>
      <t>百孚思</t>
    </r>
  </si>
  <si>
    <r>
      <rPr>
        <sz val="11"/>
        <color theme="1"/>
        <rFont val="微软雅黑"/>
        <charset val="134"/>
      </rPr>
      <t>随规划动态调整</t>
    </r>
  </si>
  <si>
    <r>
      <rPr>
        <sz val="11"/>
        <color theme="1"/>
        <rFont val="Arial"/>
        <family val="2"/>
      </rPr>
      <t>11</t>
    </r>
    <r>
      <rPr>
        <sz val="11"/>
        <color theme="1"/>
        <rFont val="宋体"/>
        <charset val="134"/>
      </rPr>
      <t>月</t>
    </r>
    <r>
      <rPr>
        <sz val="11"/>
        <color theme="1"/>
        <rFont val="Arial"/>
        <family val="2"/>
      </rPr>
      <t>14-16</t>
    </r>
    <r>
      <rPr>
        <sz val="11"/>
        <color theme="1"/>
        <rFont val="宋体"/>
        <charset val="134"/>
      </rPr>
      <t>日</t>
    </r>
  </si>
  <si>
    <r>
      <rPr>
        <sz val="11"/>
        <color theme="1"/>
        <rFont val="微软雅黑"/>
        <charset val="134"/>
      </rPr>
      <t>预热期、直播期及延续期多元化素材发布
渠道包含官方微博、微信、抖音、</t>
    </r>
    <r>
      <rPr>
        <sz val="11"/>
        <color theme="1"/>
        <rFont val="Arial"/>
        <family val="2"/>
      </rPr>
      <t>B</t>
    </r>
    <r>
      <rPr>
        <sz val="11"/>
        <color theme="1"/>
        <rFont val="微软雅黑"/>
        <charset val="134"/>
      </rPr>
      <t>站（刘力佳）</t>
    </r>
  </si>
  <si>
    <r>
      <rPr>
        <sz val="11"/>
        <color theme="1"/>
        <rFont val="微软雅黑"/>
        <charset val="134"/>
      </rPr>
      <t>抖音平台预热</t>
    </r>
  </si>
  <si>
    <r>
      <rPr>
        <sz val="11"/>
        <color theme="1"/>
        <rFont val="微软雅黑"/>
        <charset val="134"/>
      </rPr>
      <t>启动页静态开屏</t>
    </r>
  </si>
  <si>
    <t>公关部/内容营销部</t>
  </si>
  <si>
    <r>
      <rPr>
        <sz val="11"/>
        <color theme="1"/>
        <rFont val="微软雅黑"/>
        <charset val="134"/>
      </rPr>
      <t>内容由蓝标提供
群邑负责上线</t>
    </r>
  </si>
  <si>
    <r>
      <rPr>
        <sz val="11"/>
        <color theme="1"/>
        <rFont val="Arial"/>
        <family val="2"/>
      </rPr>
      <t>11</t>
    </r>
    <r>
      <rPr>
        <sz val="11"/>
        <color theme="1"/>
        <rFont val="微软雅黑"/>
        <charset val="134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微软雅黑"/>
        <charset val="134"/>
      </rPr>
      <t>号</t>
    </r>
  </si>
  <si>
    <r>
      <rPr>
        <sz val="11"/>
        <rFont val="微软雅黑"/>
        <charset val="134"/>
      </rPr>
      <t>蓝标需提供</t>
    </r>
    <r>
      <rPr>
        <sz val="11"/>
        <rFont val="Arial"/>
        <family val="2"/>
      </rPr>
      <t>1</t>
    </r>
    <r>
      <rPr>
        <sz val="11"/>
        <rFont val="微软雅黑"/>
        <charset val="134"/>
      </rPr>
      <t>张静态海报、一个小链接、</t>
    </r>
    <r>
      <rPr>
        <sz val="11"/>
        <rFont val="Arial"/>
        <family val="2"/>
      </rPr>
      <t>30s</t>
    </r>
    <r>
      <rPr>
        <sz val="11"/>
        <rFont val="微软雅黑"/>
        <charset val="134"/>
      </rPr>
      <t xml:space="preserve">以内视频
</t>
    </r>
    <r>
      <rPr>
        <sz val="11"/>
        <rFont val="Arial"/>
        <family val="2"/>
      </rPr>
      <t>Top Live</t>
    </r>
    <r>
      <rPr>
        <sz val="11"/>
        <rFont val="微软雅黑"/>
        <charset val="134"/>
      </rPr>
      <t>视频预加载时间不足的话，量就不足，</t>
    </r>
    <r>
      <rPr>
        <sz val="11"/>
        <rFont val="Arial"/>
        <family val="2"/>
      </rPr>
      <t>CPM</t>
    </r>
    <r>
      <rPr>
        <sz val="11"/>
        <rFont val="微软雅黑"/>
        <charset val="134"/>
      </rPr>
      <t>曝光量可能会无法充分实现，所以需要尽快早地提供素材，</t>
    </r>
    <r>
      <rPr>
        <sz val="11"/>
        <rFont val="Arial"/>
        <family val="2"/>
      </rPr>
      <t>9</t>
    </r>
    <r>
      <rPr>
        <sz val="11"/>
        <rFont val="微软雅黑"/>
        <charset val="134"/>
      </rPr>
      <t>日前</t>
    </r>
  </si>
  <si>
    <r>
      <rPr>
        <sz val="11"/>
        <color theme="1"/>
        <rFont val="Arial"/>
        <family val="2"/>
      </rPr>
      <t>Top Live</t>
    </r>
    <r>
      <rPr>
        <sz val="11"/>
        <color theme="1"/>
        <rFont val="微软雅黑"/>
        <charset val="134"/>
      </rPr>
      <t>视频</t>
    </r>
  </si>
  <si>
    <r>
      <rPr>
        <sz val="11"/>
        <color theme="1"/>
        <rFont val="微软雅黑"/>
        <charset val="134"/>
      </rPr>
      <t>直播拉流表</t>
    </r>
  </si>
  <si>
    <t>公关部</t>
  </si>
  <si>
    <t>刘利歌</t>
  </si>
  <si>
    <r>
      <rPr>
        <sz val="11"/>
        <color theme="1"/>
        <rFont val="微软雅黑"/>
        <charset val="134"/>
      </rPr>
      <t>蓝标：刘欣慰</t>
    </r>
  </si>
  <si>
    <r>
      <rPr>
        <sz val="11"/>
        <color theme="1"/>
        <rFont val="Arial"/>
        <family val="2"/>
      </rPr>
      <t>11</t>
    </r>
    <r>
      <rPr>
        <sz val="11"/>
        <color theme="1"/>
        <rFont val="微软雅黑"/>
        <charset val="134"/>
      </rPr>
      <t>月</t>
    </r>
    <r>
      <rPr>
        <sz val="11"/>
        <color theme="1"/>
        <rFont val="Arial"/>
        <family val="2"/>
      </rPr>
      <t>12</t>
    </r>
    <r>
      <rPr>
        <sz val="11"/>
        <color theme="1"/>
        <rFont val="微软雅黑"/>
        <charset val="134"/>
      </rPr>
      <t>号</t>
    </r>
  </si>
  <si>
    <r>
      <rPr>
        <sz val="11"/>
        <color theme="1"/>
        <rFont val="微软雅黑"/>
        <charset val="134"/>
      </rPr>
      <t>给抖音提供测试时间、直播流、及封面标题等，最晚</t>
    </r>
    <r>
      <rPr>
        <sz val="11"/>
        <color theme="1"/>
        <rFont val="Arial"/>
        <family val="2"/>
      </rPr>
      <t>12</t>
    </r>
    <r>
      <rPr>
        <sz val="11"/>
        <color theme="1"/>
        <rFont val="微软雅黑"/>
        <charset val="134"/>
      </rPr>
      <t>日提供</t>
    </r>
  </si>
  <si>
    <t>各资源方预热配合</t>
  </si>
  <si>
    <r>
      <rPr>
        <sz val="11"/>
        <color theme="1"/>
        <rFont val="微软雅黑"/>
        <charset val="134"/>
      </rPr>
      <t>艺画开天官方平台发布协调</t>
    </r>
  </si>
  <si>
    <r>
      <rPr>
        <sz val="11"/>
        <color theme="1"/>
        <rFont val="微软雅黑"/>
        <charset val="134"/>
      </rPr>
      <t>体验营销部</t>
    </r>
  </si>
  <si>
    <r>
      <rPr>
        <sz val="11"/>
        <color theme="1"/>
        <rFont val="微软雅黑"/>
        <charset val="134"/>
      </rPr>
      <t>吴超君</t>
    </r>
  </si>
  <si>
    <t>/</t>
  </si>
  <si>
    <r>
      <rPr>
        <sz val="11"/>
        <color theme="1"/>
        <rFont val="Arial"/>
        <family val="2"/>
      </rPr>
      <t>11</t>
    </r>
    <r>
      <rPr>
        <sz val="11"/>
        <color theme="1"/>
        <rFont val="微软雅黑"/>
        <charset val="134"/>
      </rPr>
      <t>月</t>
    </r>
    <r>
      <rPr>
        <sz val="11"/>
        <color theme="1"/>
        <rFont val="Arial"/>
        <family val="2"/>
      </rPr>
      <t>14</t>
    </r>
    <r>
      <rPr>
        <sz val="11"/>
        <color theme="1"/>
        <rFont val="微软雅黑"/>
        <charset val="134"/>
      </rPr>
      <t>号</t>
    </r>
  </si>
  <si>
    <r>
      <rPr>
        <sz val="11"/>
        <color theme="1"/>
        <rFont val="Arial"/>
        <family val="2"/>
      </rPr>
      <t>11</t>
    </r>
    <r>
      <rPr>
        <sz val="11"/>
        <color theme="1"/>
        <rFont val="宋体"/>
        <charset val="134"/>
      </rPr>
      <t>月</t>
    </r>
    <r>
      <rPr>
        <sz val="11"/>
        <color theme="1"/>
        <rFont val="Arial"/>
        <family val="2"/>
      </rPr>
      <t>14</t>
    </r>
    <r>
      <rPr>
        <sz val="11"/>
        <color theme="1"/>
        <rFont val="宋体"/>
        <charset val="134"/>
      </rPr>
      <t>-</t>
    </r>
    <r>
      <rPr>
        <sz val="11"/>
        <color theme="1"/>
        <rFont val="Arial"/>
        <family val="2"/>
      </rPr>
      <t>16</t>
    </r>
    <r>
      <rPr>
        <sz val="11"/>
        <color theme="1"/>
        <rFont val="宋体"/>
        <charset val="134"/>
      </rPr>
      <t>日</t>
    </r>
  </si>
  <si>
    <r>
      <rPr>
        <sz val="11"/>
        <color theme="1"/>
        <rFont val="微软雅黑"/>
        <charset val="134"/>
      </rPr>
      <t>艺画开天官抖官博互动</t>
    </r>
  </si>
  <si>
    <t>王一博ID录制</t>
  </si>
  <si>
    <r>
      <rPr>
        <sz val="11"/>
        <color theme="1"/>
        <rFont val="微软雅黑"/>
        <charset val="134"/>
      </rPr>
      <t>刘利歌</t>
    </r>
  </si>
  <si>
    <t>蓝标田雪曼</t>
  </si>
  <si>
    <r>
      <rPr>
        <sz val="11"/>
        <color theme="1"/>
        <rFont val="Arial"/>
        <family val="2"/>
      </rPr>
      <t>11</t>
    </r>
    <r>
      <rPr>
        <sz val="11"/>
        <color theme="1"/>
        <rFont val="宋体"/>
        <charset val="134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宋体"/>
        <charset val="134"/>
      </rPr>
      <t>号</t>
    </r>
  </si>
  <si>
    <r>
      <rPr>
        <sz val="11"/>
        <color theme="1"/>
        <rFont val="Arial"/>
        <family val="2"/>
      </rPr>
      <t>l</t>
    </r>
    <r>
      <rPr>
        <sz val="11"/>
        <color theme="1"/>
        <rFont val="微软雅黑"/>
        <charset val="134"/>
      </rPr>
      <t>、电声协调王一博</t>
    </r>
    <r>
      <rPr>
        <sz val="11"/>
        <color theme="1"/>
        <rFont val="Arial"/>
        <family val="2"/>
      </rPr>
      <t>ID</t>
    </r>
    <r>
      <rPr>
        <sz val="11"/>
        <color theme="1"/>
        <rFont val="微软雅黑"/>
        <charset val="134"/>
      </rPr>
      <t>拍摄，内容营销部张帆协助拍摄</t>
    </r>
    <r>
      <rPr>
        <sz val="11"/>
        <color theme="1"/>
        <rFont val="Arial"/>
        <family val="2"/>
      </rPr>
      <t>ID</t>
    </r>
    <r>
      <rPr>
        <sz val="11"/>
        <color theme="1"/>
        <rFont val="微软雅黑"/>
        <charset val="134"/>
      </rPr>
      <t xml:space="preserve">，并提供人车素材
</t>
    </r>
    <r>
      <rPr>
        <sz val="11"/>
        <color theme="1"/>
        <rFont val="Arial"/>
        <family val="2"/>
      </rPr>
      <t>2</t>
    </r>
    <r>
      <rPr>
        <sz val="11"/>
        <color theme="1"/>
        <rFont val="微软雅黑"/>
        <charset val="134"/>
      </rPr>
      <t>、蓝标负责主持人李晨</t>
    </r>
    <r>
      <rPr>
        <sz val="11"/>
        <color theme="1"/>
        <rFont val="Arial"/>
        <family val="2"/>
      </rPr>
      <t>ID</t>
    </r>
    <r>
      <rPr>
        <sz val="11"/>
        <color theme="1"/>
        <rFont val="微软雅黑"/>
        <charset val="134"/>
      </rPr>
      <t>录制，个人渠道发布</t>
    </r>
  </si>
  <si>
    <r>
      <rPr>
        <sz val="11"/>
        <color theme="1"/>
        <rFont val="微软雅黑"/>
        <charset val="134"/>
      </rPr>
      <t>主持人李晨录制及发布</t>
    </r>
  </si>
  <si>
    <t>多元化素材</t>
  </si>
  <si>
    <t>张洋</t>
  </si>
  <si>
    <t>百孚思</t>
  </si>
  <si>
    <t>随规划动态调整</t>
  </si>
  <si>
    <r>
      <rPr>
        <sz val="11"/>
        <color theme="1"/>
        <rFont val="Arial"/>
        <family val="2"/>
      </rPr>
      <t>11</t>
    </r>
    <r>
      <rPr>
        <sz val="11"/>
        <color theme="1"/>
        <rFont val="宋体"/>
        <charset val="134"/>
      </rPr>
      <t>月</t>
    </r>
    <r>
      <rPr>
        <sz val="11"/>
        <color theme="1"/>
        <rFont val="Arial"/>
        <family val="2"/>
      </rPr>
      <t>14-18</t>
    </r>
    <r>
      <rPr>
        <sz val="11"/>
        <color theme="1"/>
        <rFont val="宋体"/>
        <charset val="134"/>
      </rPr>
      <t>日</t>
    </r>
  </si>
  <si>
    <t>抖音平台内容的审核、确认与发布</t>
  </si>
  <si>
    <r>
      <rPr>
        <sz val="11"/>
        <color theme="1"/>
        <rFont val="微软雅黑"/>
        <charset val="134"/>
      </rPr>
      <t>蓝标：田雪曼</t>
    </r>
  </si>
  <si>
    <t>微信，To B平台内容审核、确认与发布</t>
  </si>
  <si>
    <r>
      <rPr>
        <sz val="11"/>
        <color theme="1"/>
        <rFont val="微软雅黑"/>
        <charset val="134"/>
      </rPr>
      <t>直播主体内容</t>
    </r>
  </si>
  <si>
    <t>直播内容整体把控</t>
  </si>
  <si>
    <t>蓝标：丁欧、田雪曼</t>
  </si>
  <si>
    <r>
      <rPr>
        <sz val="11"/>
        <color theme="1"/>
        <rFont val="微软雅黑"/>
        <charset val="134"/>
      </rPr>
      <t>全程</t>
    </r>
  </si>
  <si>
    <t>蓝标统筹艺人、嘉宾肖像权确认</t>
  </si>
  <si>
    <r>
      <rPr>
        <b/>
        <sz val="11"/>
        <color theme="1"/>
        <rFont val="微软雅黑"/>
        <charset val="134"/>
      </rPr>
      <t>直播期</t>
    </r>
  </si>
  <si>
    <r>
      <rPr>
        <sz val="11"/>
        <color theme="1"/>
        <rFont val="微软雅黑"/>
        <charset val="134"/>
      </rPr>
      <t>预约、秒杀</t>
    </r>
    <r>
      <rPr>
        <sz val="11"/>
        <color theme="1"/>
        <rFont val="Arial"/>
        <family val="2"/>
      </rPr>
      <t>banner/</t>
    </r>
    <r>
      <rPr>
        <sz val="11"/>
        <color theme="1"/>
        <rFont val="微软雅黑"/>
        <charset val="134"/>
      </rPr>
      <t>跳转落地页</t>
    </r>
    <r>
      <rPr>
        <sz val="11"/>
        <color theme="1"/>
        <rFont val="Arial"/>
        <family val="2"/>
      </rPr>
      <t>/</t>
    </r>
    <r>
      <rPr>
        <sz val="11"/>
        <color theme="1"/>
        <rFont val="微软雅黑"/>
        <charset val="134"/>
      </rPr>
      <t>再跳京东链接</t>
    </r>
  </si>
  <si>
    <r>
      <rPr>
        <sz val="11"/>
        <color theme="1"/>
        <rFont val="微软雅黑"/>
        <charset val="134"/>
      </rPr>
      <t>涉及</t>
    </r>
    <r>
      <rPr>
        <sz val="11"/>
        <color theme="1"/>
        <rFont val="Arial"/>
        <family val="2"/>
      </rPr>
      <t>banner</t>
    </r>
    <r>
      <rPr>
        <sz val="11"/>
        <color theme="1"/>
        <rFont val="微软雅黑"/>
        <charset val="134"/>
      </rPr>
      <t>素材制作</t>
    </r>
  </si>
  <si>
    <r>
      <rPr>
        <sz val="11"/>
        <color theme="1"/>
        <rFont val="微软雅黑"/>
        <charset val="134"/>
      </rPr>
      <t>素材制作：蓝标
链接提供：电商代理公司</t>
    </r>
  </si>
  <si>
    <r>
      <rPr>
        <sz val="11"/>
        <rFont val="微软雅黑"/>
        <charset val="134"/>
      </rPr>
      <t>蓝标最晚</t>
    </r>
    <r>
      <rPr>
        <sz val="11"/>
        <rFont val="Arial"/>
        <family val="2"/>
      </rPr>
      <t>10</t>
    </r>
    <r>
      <rPr>
        <sz val="11"/>
        <rFont val="微软雅黑"/>
        <charset val="134"/>
      </rPr>
      <t>号提供预约、秒杀两套</t>
    </r>
    <r>
      <rPr>
        <sz val="11"/>
        <rFont val="Arial"/>
        <family val="2"/>
      </rPr>
      <t>banner</t>
    </r>
    <r>
      <rPr>
        <sz val="11"/>
        <rFont val="微软雅黑"/>
        <charset val="134"/>
      </rPr>
      <t>素材并汇总京东链接给到抖音
电商</t>
    </r>
    <r>
      <rPr>
        <sz val="11"/>
        <rFont val="Arial"/>
        <family val="2"/>
      </rPr>
      <t>9</t>
    </r>
    <r>
      <rPr>
        <sz val="11"/>
        <rFont val="微软雅黑"/>
        <charset val="134"/>
      </rPr>
      <t>号提供京东链接</t>
    </r>
  </si>
  <si>
    <t>京东预约及秒杀页制作及链接提供</t>
  </si>
  <si>
    <t>零售营销部</t>
  </si>
  <si>
    <t>周南海</t>
  </si>
  <si>
    <r>
      <rPr>
        <sz val="11"/>
        <color theme="1"/>
        <rFont val="Arial"/>
        <family val="2"/>
      </rPr>
      <t>11</t>
    </r>
    <r>
      <rPr>
        <sz val="11"/>
        <color theme="1"/>
        <rFont val="微软雅黑"/>
        <charset val="134"/>
      </rPr>
      <t>月</t>
    </r>
    <r>
      <rPr>
        <sz val="11"/>
        <color theme="1"/>
        <rFont val="Arial"/>
        <family val="2"/>
      </rPr>
      <t>9</t>
    </r>
    <r>
      <rPr>
        <sz val="11"/>
        <color theme="1"/>
        <rFont val="微软雅黑"/>
        <charset val="134"/>
      </rPr>
      <t>号</t>
    </r>
  </si>
  <si>
    <r>
      <rPr>
        <sz val="11"/>
        <color theme="1"/>
        <rFont val="微软雅黑"/>
        <charset val="134"/>
      </rPr>
      <t>直播过程中官方抖音后台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微软雅黑"/>
        <charset val="134"/>
      </rPr>
      <t>手动推送</t>
    </r>
    <r>
      <rPr>
        <sz val="11"/>
        <color theme="1"/>
        <rFont val="Arial"/>
        <family val="2"/>
      </rPr>
      <t>banner</t>
    </r>
  </si>
  <si>
    <r>
      <rPr>
        <sz val="11"/>
        <color theme="1"/>
        <rFont val="微软雅黑"/>
        <charset val="134"/>
      </rPr>
      <t>宣布预约时手动推</t>
    </r>
    <r>
      <rPr>
        <sz val="11"/>
        <color theme="1"/>
        <rFont val="Arial"/>
        <family val="2"/>
      </rPr>
      <t>banner</t>
    </r>
  </si>
  <si>
    <r>
      <rPr>
        <sz val="11"/>
        <rFont val="微软雅黑"/>
        <charset val="134"/>
      </rPr>
      <t>公关提前说明推送大致时段，直播现场动态协调</t>
    </r>
  </si>
  <si>
    <r>
      <rPr>
        <sz val="11"/>
        <color theme="1"/>
        <rFont val="微软雅黑"/>
        <charset val="134"/>
      </rPr>
      <t>宣布秒杀时手动推</t>
    </r>
    <r>
      <rPr>
        <sz val="11"/>
        <color theme="1"/>
        <rFont val="Arial"/>
        <family val="2"/>
      </rPr>
      <t>banner</t>
    </r>
  </si>
  <si>
    <t>弹幕评论区</t>
  </si>
  <si>
    <t>蓝标提供内容建议</t>
  </si>
  <si>
    <t>蓝标：田雪曼、陈羽
（百孚思同事授权协助）</t>
  </si>
  <si>
    <r>
      <rPr>
        <sz val="11"/>
        <color theme="1"/>
        <rFont val="Arial"/>
        <family val="2"/>
      </rPr>
      <t>11</t>
    </r>
    <r>
      <rPr>
        <sz val="11"/>
        <color theme="1"/>
        <rFont val="微软雅黑"/>
        <charset val="134"/>
      </rPr>
      <t>月</t>
    </r>
    <r>
      <rPr>
        <sz val="11"/>
        <color theme="1"/>
        <rFont val="Arial"/>
        <family val="2"/>
      </rPr>
      <t>13</t>
    </r>
    <r>
      <rPr>
        <sz val="11"/>
        <color theme="1"/>
        <rFont val="微软雅黑"/>
        <charset val="134"/>
      </rPr>
      <t>日前</t>
    </r>
  </si>
  <si>
    <t>蓝标提供敏感词，交由抖音</t>
  </si>
  <si>
    <t>直播期间实时监测弹幕内容</t>
  </si>
  <si>
    <t>敏感词建议加上竞品
授权直播间管理员（最多授权10人），监测和管理敏感词，
出现敏感词后需要进行屏蔽操作（手机可完成）
蓝标2人，魔笛2人，奥迪1人
需尽快提供给抖音</t>
  </si>
  <si>
    <r>
      <rPr>
        <b/>
        <sz val="11"/>
        <color theme="1"/>
        <rFont val="微软雅黑"/>
        <charset val="134"/>
      </rPr>
      <t>延续期</t>
    </r>
  </si>
  <si>
    <r>
      <rPr>
        <sz val="11"/>
        <color theme="1"/>
        <rFont val="微软雅黑"/>
        <charset val="134"/>
      </rPr>
      <t>直播回放</t>
    </r>
  </si>
  <si>
    <r>
      <rPr>
        <sz val="11"/>
        <color theme="1"/>
        <rFont val="微软雅黑"/>
        <charset val="134"/>
      </rPr>
      <t>抖音平台直播后回放</t>
    </r>
  </si>
  <si>
    <t>KPI任务及战报数据提供</t>
  </si>
  <si>
    <r>
      <rPr>
        <sz val="11"/>
        <color theme="1"/>
        <rFont val="微软雅黑"/>
        <charset val="134"/>
      </rPr>
      <t>抖音平台后台数据统计</t>
    </r>
  </si>
  <si>
    <t>蓝标</t>
  </si>
  <si>
    <t>媒体六大群触达人次，媒体报道数、媒体朋友圈</t>
  </si>
  <si>
    <r>
      <rPr>
        <sz val="11"/>
        <color theme="1"/>
        <rFont val="微软雅黑"/>
        <charset val="134"/>
      </rPr>
      <t>京东官方旗舰店数据表现</t>
    </r>
  </si>
  <si>
    <t>京东官方旗舰店访问量、预约量</t>
  </si>
  <si>
    <r>
      <rPr>
        <sz val="11"/>
        <color theme="1"/>
        <rFont val="微软雅黑"/>
        <charset val="134"/>
      </rPr>
      <t>抖音热榜冲刺</t>
    </r>
  </si>
  <si>
    <t>奥迪官方直播第一期 传播规划</t>
  </si>
  <si>
    <t>时间</t>
  </si>
  <si>
    <t>内容方向</t>
  </si>
  <si>
    <t>描述</t>
  </si>
  <si>
    <t>数量规划</t>
  </si>
  <si>
    <t>传播渠道</t>
  </si>
  <si>
    <t>内宣渠道</t>
  </si>
  <si>
    <t>阶段</t>
  </si>
  <si>
    <t>日期</t>
  </si>
  <si>
    <t>发布时间段</t>
  </si>
  <si>
    <t>海报</t>
  </si>
  <si>
    <t>长图</t>
  </si>
  <si>
    <t>视频</t>
  </si>
  <si>
    <t>直播前
预热阶段</t>
  </si>
  <si>
    <t>上午</t>
  </si>
  <si>
    <r>
      <rPr>
        <sz val="11"/>
        <rFont val="等线"/>
        <charset val="134"/>
      </rPr>
      <t>√</t>
    </r>
    <r>
      <rPr>
        <sz val="11"/>
        <rFont val="微软雅黑"/>
        <charset val="134"/>
      </rPr>
      <t xml:space="preserve">平面类: 内部员工电脑屏保、桌面壁纸等
</t>
    </r>
    <r>
      <rPr>
        <sz val="11"/>
        <rFont val="华文宋体"/>
        <charset val="134"/>
      </rPr>
      <t>√</t>
    </r>
    <r>
      <rPr>
        <sz val="11"/>
        <rFont val="微软雅黑"/>
        <charset val="134"/>
      </rPr>
      <t>视频类: 办公楼电视、电梯电视、食堂电视等
√公司内部平台：一汽-大众电视台、一汽-大众官方平台</t>
    </r>
  </si>
  <si>
    <t>下午</t>
  </si>
  <si>
    <t>第一期主题概念预热</t>
  </si>
  <si>
    <t>李晨个人小视频</t>
  </si>
  <si>
    <t>内容看点预热短视频</t>
  </si>
  <si>
    <t>灵笼篇预热视频</t>
  </si>
  <si>
    <t>滑板篇预热视频</t>
  </si>
  <si>
    <t>官方微博、朋友圈</t>
  </si>
  <si>
    <t>嘉宾阵容海报
（直播入口、时间等信息预告）</t>
  </si>
  <si>
    <t>灵笼环节后</t>
  </si>
  <si>
    <t>插播VCR+亮点长图</t>
  </si>
  <si>
    <t>奥迪好玩——奥迪支持《灵笼》国漫崛起长图</t>
  </si>
  <si>
    <t>朋友圈</t>
  </si>
  <si>
    <t>灵笼环节精彩VCR</t>
  </si>
  <si>
    <t>官方抖音、官方视频号</t>
  </si>
  <si>
    <t>滑板环节后</t>
  </si>
  <si>
    <t>奥迪好物——奥迪概念车及王一博联名滑板长图</t>
  </si>
  <si>
    <t>A3联名款
及领导环节后</t>
  </si>
  <si>
    <t>奥迪好惊喜——联名版奥迪A3及领导部分长图</t>
  </si>
  <si>
    <t>联名款A3环节精彩VCR</t>
  </si>
  <si>
    <t>直播结束后</t>
  </si>
  <si>
    <t>直播图片</t>
  </si>
  <si>
    <t>精彩图片集锦</t>
  </si>
  <si>
    <t>多张</t>
  </si>
  <si>
    <t>直播后
二次传播</t>
  </si>
  <si>
    <t>数据战报</t>
  </si>
  <si>
    <t>直播后的数据战报长图</t>
  </si>
  <si>
    <t>完整正片</t>
  </si>
  <si>
    <t>直播全程*1+各个环节*3</t>
  </si>
  <si>
    <t>官方B站</t>
  </si>
  <si>
    <t>精彩瞬间15s Cut</t>
  </si>
  <si>
    <t>好玩*1+好物*1+好惊喜*1</t>
  </si>
  <si>
    <t>精彩瞬间1min Cut</t>
  </si>
  <si>
    <t>好玩好物好惊喜</t>
  </si>
  <si>
    <t>官方抖音、官方微博、官方视频号</t>
  </si>
  <si>
    <t>小计</t>
  </si>
  <si>
    <t>总计</t>
  </si>
  <si>
    <t>朋友圈</t>
    <phoneticPr fontId="18" type="noConversion"/>
  </si>
  <si>
    <t>第一期亮点长图</t>
    <phoneticPr fontId="18" type="noConversion"/>
  </si>
  <si>
    <t>滑板VCR</t>
    <phoneticPr fontId="18" type="noConversion"/>
  </si>
  <si>
    <t>奥迪 X Z世代的异想世界主题概念预热视频</t>
    <phoneticPr fontId="18" type="noConversion"/>
  </si>
  <si>
    <t>直播预告</t>
    <phoneticPr fontId="18" type="noConversion"/>
  </si>
  <si>
    <t>官方抖音，双微</t>
    <phoneticPr fontId="18" type="noConversion"/>
  </si>
  <si>
    <t>直播预热海报1</t>
    <phoneticPr fontId="18" type="noConversion"/>
  </si>
  <si>
    <t>直播预热海报2</t>
    <phoneticPr fontId="18" type="noConversion"/>
  </si>
  <si>
    <t>平台开播预告</t>
    <phoneticPr fontId="18" type="noConversion"/>
  </si>
  <si>
    <t>第一期主题亮点预热</t>
    <phoneticPr fontId="18" type="noConversion"/>
  </si>
  <si>
    <t>下午</t>
    <phoneticPr fontId="18" type="noConversion"/>
  </si>
  <si>
    <t>晚上</t>
    <phoneticPr fontId="18" type="noConversion"/>
  </si>
  <si>
    <t>官方抖音，双微，灵笼官抖、粉丝群</t>
    <phoneticPr fontId="18" type="noConversion"/>
  </si>
  <si>
    <t>规格/时长</t>
    <phoneticPr fontId="18" type="noConversion"/>
  </si>
  <si>
    <t>竖版</t>
    <phoneticPr fontId="18" type="noConversion"/>
  </si>
  <si>
    <t>竖版</t>
    <phoneticPr fontId="18" type="noConversion"/>
  </si>
  <si>
    <t>横版</t>
    <phoneticPr fontId="18" type="noConversion"/>
  </si>
  <si>
    <t>同上开屏画面，平台概念海报加二维码</t>
    <phoneticPr fontId="18" type="noConversion"/>
  </si>
  <si>
    <t>奥迪官方微博发布李晨微博转发+李晨抖音@奥迪</t>
    <phoneticPr fontId="18" type="noConversion"/>
  </si>
  <si>
    <t>直播精彩片段</t>
    <phoneticPr fontId="18" type="noConversion"/>
  </si>
  <si>
    <r>
      <t>各个环节3-</t>
    </r>
    <r>
      <rPr>
        <sz val="11"/>
        <color theme="1"/>
        <rFont val="微软雅黑"/>
        <family val="2"/>
        <charset val="134"/>
      </rPr>
      <t>5</t>
    </r>
    <phoneticPr fontId="18" type="noConversion"/>
  </si>
  <si>
    <t>媒体报道</t>
    <phoneticPr fontId="18" type="noConversion"/>
  </si>
  <si>
    <t>破圈媒体报道</t>
    <phoneticPr fontId="18" type="noConversion"/>
  </si>
  <si>
    <t>亮点混剪+王一博与A3+ID视频</t>
    <phoneticPr fontId="18" type="noConversion"/>
  </si>
  <si>
    <t>抖音静态3秒开屏（11.14-16三天），跳转官方抖音，奥迪频道预热视频</t>
    <phoneticPr fontId="18" type="noConversion"/>
  </si>
  <si>
    <t>朋友圈，奥迪公众号二条</t>
    <phoneticPr fontId="18" type="noConversion"/>
  </si>
  <si>
    <r>
      <t>王一博限量款A</t>
    </r>
    <r>
      <rPr>
        <sz val="11"/>
        <color theme="1"/>
        <rFont val="微软雅黑"/>
        <family val="2"/>
        <charset val="134"/>
      </rPr>
      <t>3官宣</t>
    </r>
    <phoneticPr fontId="18" type="noConversion"/>
  </si>
  <si>
    <t>抖音Toplive亮点混剪预热短视频</t>
    <phoneticPr fontId="18" type="noConversion"/>
  </si>
  <si>
    <t>上午</t>
    <phoneticPr fontId="18" type="noConversion"/>
  </si>
  <si>
    <t>媒介推流7点半上线</t>
    <phoneticPr fontId="18" type="noConversion"/>
  </si>
  <si>
    <t>朋友圈，内宣</t>
    <phoneticPr fontId="18" type="noConversion"/>
  </si>
  <si>
    <t>官方抖音、视频号</t>
    <phoneticPr fontId="18" type="noConversion"/>
  </si>
  <si>
    <t>王一博限量版A3官宣、直播预告视频</t>
    <phoneticPr fontId="18" type="noConversion"/>
  </si>
  <si>
    <t>横版</t>
    <phoneticPr fontId="18" type="noConversion"/>
  </si>
  <si>
    <t>横版</t>
    <phoneticPr fontId="18" type="noConversion"/>
  </si>
  <si>
    <t>奥迪官方全平台，微博热搜（创意团队提供视频）</t>
    <phoneticPr fontId="18" type="noConversion"/>
  </si>
  <si>
    <t>竖版</t>
    <phoneticPr fontId="18" type="noConversion"/>
  </si>
  <si>
    <t>官方全平台，经销商抖音转发联动</t>
    <phoneticPr fontId="18" type="noConversion"/>
  </si>
  <si>
    <t>官方全平台，经销商抖音转发，灵笼官抖转发联动</t>
    <phoneticPr fontId="18" type="noConversion"/>
  </si>
  <si>
    <r>
      <t>刘利歌</t>
    </r>
    <r>
      <rPr>
        <sz val="11"/>
        <color theme="1"/>
        <rFont val="Arial"/>
        <family val="2"/>
      </rPr>
      <t>/</t>
    </r>
    <r>
      <rPr>
        <sz val="11"/>
        <color theme="1"/>
        <rFont val="微软雅黑"/>
        <charset val="134"/>
      </rPr>
      <t>赵柯澧</t>
    </r>
    <phoneticPr fontId="18" type="noConversion"/>
  </si>
  <si>
    <t>刘力嘉/张洋</t>
    <phoneticPr fontId="18" type="noConversion"/>
  </si>
  <si>
    <t>刘力嘉/蒋晓睿</t>
    <phoneticPr fontId="18" type="noConversion"/>
  </si>
  <si>
    <r>
      <t>11</t>
    </r>
    <r>
      <rPr>
        <sz val="11"/>
        <color theme="1"/>
        <rFont val="微软雅黑"/>
        <charset val="134"/>
      </rPr>
      <t>月</t>
    </r>
    <r>
      <rPr>
        <sz val="11"/>
        <color theme="1"/>
        <rFont val="Arial"/>
        <family val="2"/>
      </rPr>
      <t>11</t>
    </r>
    <r>
      <rPr>
        <sz val="11"/>
        <color theme="1"/>
        <rFont val="微软雅黑"/>
        <charset val="134"/>
      </rPr>
      <t>号</t>
    </r>
    <phoneticPr fontId="18" type="noConversion"/>
  </si>
  <si>
    <t>横版</t>
    <phoneticPr fontId="18" type="noConversion"/>
  </si>
  <si>
    <t>横版</t>
    <phoneticPr fontId="18" type="noConversion"/>
  </si>
  <si>
    <t>预热开屏落地视频</t>
    <phoneticPr fontId="18" type="noConversion"/>
  </si>
  <si>
    <t>视频、图片等</t>
    <phoneticPr fontId="18" type="noConversion"/>
  </si>
  <si>
    <t>公关部</t>
    <phoneticPr fontId="18" type="noConversion"/>
  </si>
  <si>
    <t>刘利歌</t>
    <phoneticPr fontId="18" type="noConversion"/>
  </si>
  <si>
    <t>蓝标田雪曼</t>
    <phoneticPr fontId="18" type="noConversion"/>
  </si>
  <si>
    <t>奥迪官方平台发布</t>
    <phoneticPr fontId="18" type="noConversion"/>
  </si>
  <si>
    <t>微信朋友圈发布</t>
    <phoneticPr fontId="18" type="noConversion"/>
  </si>
  <si>
    <t>区域经销商发布</t>
    <phoneticPr fontId="18" type="noConversion"/>
  </si>
  <si>
    <t>渠道部</t>
    <phoneticPr fontId="18" type="noConversion"/>
  </si>
  <si>
    <t>张庆龙</t>
    <phoneticPr fontId="18" type="noConversion"/>
  </si>
  <si>
    <r>
      <t>11</t>
    </r>
    <r>
      <rPr>
        <sz val="11"/>
        <color theme="1"/>
        <rFont val="宋体"/>
        <family val="3"/>
        <charset val="134"/>
      </rPr>
      <t>月</t>
    </r>
    <r>
      <rPr>
        <sz val="11"/>
        <color theme="1"/>
        <rFont val="Arial"/>
        <family val="2"/>
      </rPr>
      <t>14-18</t>
    </r>
    <r>
      <rPr>
        <sz val="11"/>
        <color theme="1"/>
        <rFont val="宋体"/>
        <family val="3"/>
        <charset val="134"/>
      </rPr>
      <t>日</t>
    </r>
    <phoneticPr fontId="18" type="noConversion"/>
  </si>
  <si>
    <t>公关部</t>
    <phoneticPr fontId="18" type="noConversion"/>
  </si>
  <si>
    <t>评论区媒体KOL</t>
    <phoneticPr fontId="18" type="noConversion"/>
  </si>
  <si>
    <t>张庆龙</t>
    <phoneticPr fontId="18" type="noConversion"/>
  </si>
  <si>
    <r>
      <t>评论区国漫、滑板圈层KOL</t>
    </r>
    <r>
      <rPr>
        <sz val="11"/>
        <color theme="1"/>
        <rFont val="微软雅黑"/>
        <charset val="134"/>
      </rPr>
      <t>刷屏引导</t>
    </r>
    <phoneticPr fontId="18" type="noConversion"/>
  </si>
  <si>
    <t>评论区王一博粉丝刷屏引导</t>
    <phoneticPr fontId="18" type="noConversion"/>
  </si>
  <si>
    <t>李哲</t>
    <phoneticPr fontId="18" type="noConversion"/>
  </si>
  <si>
    <t>内容营销部</t>
    <phoneticPr fontId="18" type="noConversion"/>
  </si>
  <si>
    <t>刘利歌</t>
    <phoneticPr fontId="18" type="noConversion"/>
  </si>
  <si>
    <t>评论区经销商刷屏引导</t>
    <phoneticPr fontId="18" type="noConversion"/>
  </si>
  <si>
    <t>零售营销部</t>
    <phoneticPr fontId="18" type="noConversion"/>
  </si>
  <si>
    <t>内容营销部</t>
    <phoneticPr fontId="18" type="noConversion"/>
  </si>
  <si>
    <t>零售营销部</t>
    <phoneticPr fontId="18" type="noConversion"/>
  </si>
  <si>
    <r>
      <t>A3</t>
    </r>
    <r>
      <rPr>
        <sz val="11"/>
        <color theme="1"/>
        <rFont val="宋体"/>
        <family val="3"/>
        <charset val="134"/>
      </rPr>
      <t>百度指数</t>
    </r>
    <phoneticPr fontId="18" type="noConversion"/>
  </si>
  <si>
    <t>候玉琦</t>
    <phoneticPr fontId="18" type="noConversion"/>
  </si>
  <si>
    <t>抖音累积观看量、抖音总互动量（转评赞总数）、官方抖音增粉量</t>
    <phoneticPr fontId="18" type="noConversion"/>
  </si>
  <si>
    <t>媒体触达及媒体报道</t>
    <phoneticPr fontId="18" type="noConversion"/>
  </si>
  <si>
    <t>抖音热榜</t>
    <phoneticPr fontId="18" type="noConversion"/>
  </si>
  <si>
    <t>公关部/内容营销部</t>
    <phoneticPr fontId="18" type="noConversion"/>
  </si>
  <si>
    <t>刘利歌/赵柯澧</t>
    <phoneticPr fontId="18" type="noConversion"/>
  </si>
  <si>
    <t>群邑负责购买
冲榜话题蓝标群邑共同负责</t>
    <phoneticPr fontId="18" type="noConversion"/>
  </si>
  <si>
    <r>
      <rPr>
        <sz val="11"/>
        <color theme="1"/>
        <rFont val="微软雅黑"/>
        <charset val="134"/>
      </rPr>
      <t>内容要软性，标题需要跟品牌</t>
    </r>
    <r>
      <rPr>
        <sz val="11"/>
        <color theme="1"/>
        <rFont val="Arial"/>
        <family val="2"/>
      </rPr>
      <t>/</t>
    </r>
    <r>
      <rPr>
        <sz val="11"/>
        <color theme="1"/>
        <rFont val="微软雅黑"/>
        <charset val="134"/>
      </rPr>
      <t>车不相关才能过审，不能涉及打广告，比如花絮（王一博联名滑板相关）</t>
    </r>
    <phoneticPr fontId="18" type="noConversion"/>
  </si>
  <si>
    <t>（抖音自动录屏的需要至少半小时后才可回放）
蓝标使用采集卡，提供给抖音流，会更快些</t>
    <phoneticPr fontId="18" type="noConversion"/>
  </si>
  <si>
    <t>易少霞</t>
    <phoneticPr fontId="18" type="noConversion"/>
  </si>
  <si>
    <t>蓝标</t>
    <phoneticPr fontId="18" type="noConversion"/>
  </si>
  <si>
    <t>百孚思</t>
    <phoneticPr fontId="18" type="noConversion"/>
  </si>
  <si>
    <r>
      <t xml:space="preserve">百孚思
</t>
    </r>
    <r>
      <rPr>
        <sz val="11"/>
        <color theme="1"/>
        <rFont val="Arial"/>
        <family val="2"/>
      </rPr>
      <t>(</t>
    </r>
    <r>
      <rPr>
        <sz val="11"/>
        <color theme="1"/>
        <rFont val="微软雅黑"/>
        <charset val="134"/>
      </rPr>
      <t>需要</t>
    </r>
    <r>
      <rPr>
        <sz val="11"/>
        <color theme="1"/>
        <rFont val="Arial"/>
        <family val="2"/>
      </rPr>
      <t>onsite</t>
    </r>
    <r>
      <rPr>
        <sz val="11"/>
        <color theme="1"/>
        <rFont val="微软雅黑"/>
        <charset val="134"/>
      </rPr>
      <t>）</t>
    </r>
    <phoneticPr fontId="18" type="noConversion"/>
  </si>
  <si>
    <t>敏感词控评及评论区引导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</si>
</sst>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b/>
      <sz val="14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2"/>
      <color theme="1"/>
      <name val="宋体"/>
      <charset val="134"/>
      <scheme val="minor"/>
    </font>
    <font>
      <sz val="9"/>
      <name val="微软雅黑"/>
      <charset val="134"/>
    </font>
    <font>
      <sz val="9"/>
      <color theme="1"/>
      <name val="微软雅黑"/>
      <charset val="134"/>
    </font>
    <font>
      <b/>
      <sz val="18"/>
      <name val="Arial"/>
      <family val="2"/>
    </font>
    <font>
      <b/>
      <sz val="14"/>
      <color theme="0"/>
      <name val="Arial"/>
      <family val="2"/>
    </font>
    <font>
      <b/>
      <sz val="14"/>
      <color theme="0"/>
      <name val="宋体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宋体"/>
      <charset val="134"/>
    </font>
    <font>
      <sz val="11"/>
      <name val="Arial"/>
      <family val="2"/>
    </font>
    <font>
      <sz val="11"/>
      <name val="等线"/>
      <charset val="134"/>
    </font>
    <font>
      <sz val="11"/>
      <name val="华文宋体"/>
      <charset val="134"/>
    </font>
    <font>
      <sz val="9"/>
      <name val="宋体"/>
      <family val="3"/>
      <charset val="134"/>
      <scheme val="minor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58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58" fontId="4" fillId="0" borderId="2" xfId="0" applyNumberFormat="1" applyFont="1" applyFill="1" applyBorder="1" applyAlignment="1">
      <alignment horizontal="center" vertical="center"/>
    </xf>
    <xf numFmtId="58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13" fillId="0" borderId="1" xfId="0" applyFont="1" applyFill="1" applyBorder="1">
      <alignment vertical="center"/>
    </xf>
    <xf numFmtId="58" fontId="13" fillId="0" borderId="1" xfId="0" applyNumberFormat="1" applyFont="1" applyBorder="1" applyAlignment="1">
      <alignment horizontal="center" vertical="center" wrapText="1"/>
    </xf>
    <xf numFmtId="58" fontId="13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58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58" fontId="4" fillId="0" borderId="1" xfId="0" applyNumberFormat="1" applyFont="1" applyFill="1" applyBorder="1" applyAlignment="1">
      <alignment horizontal="center" vertical="center"/>
    </xf>
    <xf numFmtId="58" fontId="4" fillId="0" borderId="1" xfId="0" applyNumberFormat="1" applyFont="1" applyFill="1" applyBorder="1" applyAlignment="1">
      <alignment horizontal="center" vertical="center" wrapText="1"/>
    </xf>
    <xf numFmtId="58" fontId="4" fillId="0" borderId="2" xfId="0" applyNumberFormat="1" applyFont="1" applyFill="1" applyBorder="1" applyAlignment="1">
      <alignment horizontal="center" vertical="center"/>
    </xf>
    <xf numFmtId="58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58" fontId="4" fillId="0" borderId="4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58" fontId="20" fillId="0" borderId="1" xfId="0" applyNumberFormat="1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58" fontId="20" fillId="0" borderId="1" xfId="0" applyNumberFormat="1" applyFont="1" applyFill="1" applyBorder="1" applyAlignment="1">
      <alignment horizontal="center" vertical="center"/>
    </xf>
    <xf numFmtId="58" fontId="20" fillId="0" borderId="2" xfId="0" applyNumberFormat="1" applyFont="1" applyFill="1" applyBorder="1" applyAlignment="1">
      <alignment horizontal="center" vertical="center"/>
    </xf>
    <xf numFmtId="58" fontId="20" fillId="0" borderId="3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58" fontId="4" fillId="0" borderId="2" xfId="0" applyNumberFormat="1" applyFont="1" applyFill="1" applyBorder="1" applyAlignment="1">
      <alignment horizontal="center" vertical="center" wrapText="1"/>
    </xf>
    <xf numFmtId="58" fontId="4" fillId="0" borderId="3" xfId="0" applyNumberFormat="1" applyFont="1" applyFill="1" applyBorder="1" applyAlignment="1">
      <alignment horizontal="center" vertical="center" wrapText="1"/>
    </xf>
    <xf numFmtId="58" fontId="20" fillId="0" borderId="4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left" vertical="center"/>
    </xf>
    <xf numFmtId="0" fontId="20" fillId="0" borderId="1" xfId="0" applyFont="1" applyBorder="1">
      <alignment vertical="center"/>
    </xf>
    <xf numFmtId="0" fontId="20" fillId="0" borderId="1" xfId="0" applyFont="1" applyFill="1" applyBorder="1">
      <alignment vertical="center"/>
    </xf>
    <xf numFmtId="0" fontId="20" fillId="0" borderId="1" xfId="0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4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58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/>
    </xf>
    <xf numFmtId="58" fontId="1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showGridLines="0" zoomScale="90" zoomScaleNormal="90" workbookViewId="0">
      <selection sqref="A1:I1"/>
    </sheetView>
  </sheetViews>
  <sheetFormatPr defaultColWidth="9" defaultRowHeight="13.5" x14ac:dyDescent="0.15"/>
  <cols>
    <col min="1" max="1" width="9" style="98" customWidth="1"/>
    <col min="2" max="2" width="28.125" style="20" customWidth="1"/>
    <col min="3" max="3" width="30.875" customWidth="1"/>
    <col min="4" max="4" width="17.25" customWidth="1"/>
    <col min="5" max="5" width="13.25" style="21" customWidth="1"/>
    <col min="6" max="6" width="24.25" customWidth="1"/>
    <col min="7" max="7" width="18.25" customWidth="1"/>
    <col min="8" max="8" width="19.625" customWidth="1"/>
    <col min="9" max="9" width="53.5" customWidth="1"/>
  </cols>
  <sheetData>
    <row r="1" spans="1:9" ht="51" customHeight="1" x14ac:dyDescent="0.15">
      <c r="A1" s="43" t="s">
        <v>0</v>
      </c>
      <c r="B1" s="43"/>
      <c r="C1" s="43"/>
      <c r="D1" s="43"/>
      <c r="E1" s="43"/>
      <c r="F1" s="43"/>
      <c r="G1" s="43"/>
      <c r="H1" s="43"/>
      <c r="I1" s="43"/>
    </row>
    <row r="2" spans="1:9" ht="30" customHeight="1" x14ac:dyDescent="0.15">
      <c r="A2" s="22"/>
      <c r="B2" s="56" t="s">
        <v>1</v>
      </c>
      <c r="C2" s="44"/>
      <c r="D2" s="22" t="s">
        <v>2</v>
      </c>
      <c r="E2" s="22" t="s">
        <v>3</v>
      </c>
      <c r="F2" s="22" t="s">
        <v>4</v>
      </c>
      <c r="G2" s="22" t="s">
        <v>5</v>
      </c>
      <c r="H2" s="23" t="s">
        <v>6</v>
      </c>
      <c r="I2" s="22" t="s">
        <v>7</v>
      </c>
    </row>
    <row r="3" spans="1:9" ht="39" customHeight="1" x14ac:dyDescent="0.15">
      <c r="A3" s="45" t="s">
        <v>8</v>
      </c>
      <c r="B3" s="99" t="s">
        <v>9</v>
      </c>
      <c r="C3" s="24" t="s">
        <v>10</v>
      </c>
      <c r="D3" s="25" t="s">
        <v>11</v>
      </c>
      <c r="E3" s="90" t="s">
        <v>179</v>
      </c>
      <c r="F3" s="26" t="s">
        <v>12</v>
      </c>
      <c r="G3" s="26" t="s">
        <v>13</v>
      </c>
      <c r="H3" s="26" t="s">
        <v>14</v>
      </c>
      <c r="I3" s="35" t="s">
        <v>15</v>
      </c>
    </row>
    <row r="4" spans="1:9" ht="18" customHeight="1" x14ac:dyDescent="0.15">
      <c r="A4" s="45"/>
      <c r="B4" s="100" t="s">
        <v>16</v>
      </c>
      <c r="C4" s="24" t="s">
        <v>17</v>
      </c>
      <c r="D4" s="48" t="s">
        <v>18</v>
      </c>
      <c r="E4" s="88" t="s">
        <v>177</v>
      </c>
      <c r="F4" s="52" t="s">
        <v>19</v>
      </c>
      <c r="G4" s="52" t="s">
        <v>180</v>
      </c>
      <c r="H4" s="52" t="s">
        <v>14</v>
      </c>
      <c r="I4" s="53" t="s">
        <v>21</v>
      </c>
    </row>
    <row r="5" spans="1:9" ht="18" customHeight="1" x14ac:dyDescent="0.15">
      <c r="A5" s="45"/>
      <c r="B5" s="100"/>
      <c r="C5" s="92" t="s">
        <v>183</v>
      </c>
      <c r="D5" s="49"/>
      <c r="E5" s="49"/>
      <c r="F5" s="49"/>
      <c r="G5" s="52"/>
      <c r="H5" s="52"/>
      <c r="I5" s="53"/>
    </row>
    <row r="6" spans="1:9" ht="24" customHeight="1" x14ac:dyDescent="0.15">
      <c r="A6" s="45"/>
      <c r="B6" s="100"/>
      <c r="C6" s="29" t="s">
        <v>22</v>
      </c>
      <c r="D6" s="49"/>
      <c r="E6" s="49"/>
      <c r="F6" s="49"/>
      <c r="G6" s="52"/>
      <c r="H6" s="30">
        <v>44151</v>
      </c>
      <c r="I6" s="53"/>
    </row>
    <row r="7" spans="1:9" ht="21.95" customHeight="1" x14ac:dyDescent="0.15">
      <c r="A7" s="45"/>
      <c r="B7" s="100"/>
      <c r="C7" s="24" t="s">
        <v>23</v>
      </c>
      <c r="D7" s="25" t="s">
        <v>24</v>
      </c>
      <c r="E7" s="25" t="s">
        <v>25</v>
      </c>
      <c r="F7" s="26" t="s">
        <v>26</v>
      </c>
      <c r="G7" s="26" t="s">
        <v>27</v>
      </c>
      <c r="H7" s="31">
        <v>44151</v>
      </c>
      <c r="I7" s="24" t="s">
        <v>28</v>
      </c>
    </row>
    <row r="8" spans="1:9" ht="18.95" customHeight="1" x14ac:dyDescent="0.15">
      <c r="A8" s="45"/>
      <c r="B8" s="101" t="s">
        <v>29</v>
      </c>
      <c r="C8" s="24" t="s">
        <v>30</v>
      </c>
      <c r="D8" s="26" t="s">
        <v>31</v>
      </c>
      <c r="E8" s="26" t="s">
        <v>32</v>
      </c>
      <c r="F8" s="26" t="s">
        <v>33</v>
      </c>
      <c r="G8" s="26" t="s">
        <v>34</v>
      </c>
      <c r="H8" s="26" t="s">
        <v>35</v>
      </c>
      <c r="I8" s="24" t="s">
        <v>36</v>
      </c>
    </row>
    <row r="9" spans="1:9" ht="18.95" customHeight="1" x14ac:dyDescent="0.15">
      <c r="A9" s="45"/>
      <c r="B9" s="100"/>
      <c r="C9" s="28" t="s">
        <v>37</v>
      </c>
      <c r="D9" s="48" t="s">
        <v>24</v>
      </c>
      <c r="E9" s="49" t="s">
        <v>38</v>
      </c>
      <c r="F9" s="48" t="s">
        <v>39</v>
      </c>
      <c r="G9" s="26" t="s">
        <v>40</v>
      </c>
      <c r="H9" s="31">
        <v>44151</v>
      </c>
      <c r="I9" s="54" t="s">
        <v>41</v>
      </c>
    </row>
    <row r="10" spans="1:9" ht="39" customHeight="1" x14ac:dyDescent="0.15">
      <c r="A10" s="45"/>
      <c r="B10" s="100"/>
      <c r="C10" s="24" t="s">
        <v>42</v>
      </c>
      <c r="D10" s="48"/>
      <c r="E10" s="49"/>
      <c r="F10" s="48"/>
      <c r="G10" s="26" t="s">
        <v>20</v>
      </c>
      <c r="H10" s="31">
        <v>44149</v>
      </c>
      <c r="I10" s="54"/>
    </row>
    <row r="11" spans="1:9" s="19" customFormat="1" ht="18.95" customHeight="1" x14ac:dyDescent="0.15">
      <c r="A11" s="46"/>
      <c r="B11" s="102" t="s">
        <v>43</v>
      </c>
      <c r="C11" s="93" t="s">
        <v>184</v>
      </c>
      <c r="D11" s="89" t="s">
        <v>185</v>
      </c>
      <c r="E11" s="89" t="s">
        <v>186</v>
      </c>
      <c r="F11" s="89" t="s">
        <v>187</v>
      </c>
      <c r="G11" s="11" t="s">
        <v>46</v>
      </c>
      <c r="H11" s="33" t="s">
        <v>47</v>
      </c>
      <c r="I11" s="40"/>
    </row>
    <row r="12" spans="1:9" s="19" customFormat="1" ht="18.95" customHeight="1" x14ac:dyDescent="0.15">
      <c r="A12" s="46"/>
      <c r="B12" s="102"/>
      <c r="C12" s="93" t="s">
        <v>188</v>
      </c>
      <c r="D12" s="11" t="s">
        <v>11</v>
      </c>
      <c r="E12" s="89" t="s">
        <v>178</v>
      </c>
      <c r="F12" s="11" t="s">
        <v>45</v>
      </c>
      <c r="G12" s="11" t="s">
        <v>46</v>
      </c>
      <c r="H12" s="33" t="s">
        <v>47</v>
      </c>
      <c r="I12" s="40" t="s">
        <v>48</v>
      </c>
    </row>
    <row r="13" spans="1:9" s="19" customFormat="1" ht="21.75" customHeight="1" x14ac:dyDescent="0.15">
      <c r="A13" s="46"/>
      <c r="B13" s="102"/>
      <c r="C13" s="93" t="s">
        <v>189</v>
      </c>
      <c r="D13" s="11" t="s">
        <v>24</v>
      </c>
      <c r="E13" s="34" t="s">
        <v>38</v>
      </c>
      <c r="F13" s="34" t="s">
        <v>49</v>
      </c>
      <c r="G13" s="11" t="s">
        <v>46</v>
      </c>
      <c r="H13" s="34" t="s">
        <v>47</v>
      </c>
      <c r="I13" s="32" t="s">
        <v>50</v>
      </c>
    </row>
    <row r="14" spans="1:9" s="19" customFormat="1" ht="21.75" customHeight="1" x14ac:dyDescent="0.15">
      <c r="A14" s="46"/>
      <c r="B14" s="102"/>
      <c r="C14" s="93" t="s">
        <v>190</v>
      </c>
      <c r="D14" s="89" t="s">
        <v>191</v>
      </c>
      <c r="E14" s="34" t="s">
        <v>192</v>
      </c>
      <c r="F14" s="34"/>
      <c r="G14" s="3">
        <v>44147</v>
      </c>
      <c r="H14" s="34" t="s">
        <v>193</v>
      </c>
      <c r="I14" s="32"/>
    </row>
    <row r="15" spans="1:9" ht="18.95" customHeight="1" x14ac:dyDescent="0.15">
      <c r="A15" s="45"/>
      <c r="B15" s="37" t="s">
        <v>51</v>
      </c>
      <c r="C15" s="28" t="s">
        <v>52</v>
      </c>
      <c r="D15" s="36" t="s">
        <v>24</v>
      </c>
      <c r="E15" s="36" t="s">
        <v>25</v>
      </c>
      <c r="F15" s="25" t="s">
        <v>53</v>
      </c>
      <c r="G15" s="26" t="s">
        <v>54</v>
      </c>
      <c r="H15" s="31">
        <v>44151</v>
      </c>
      <c r="I15" s="41" t="s">
        <v>55</v>
      </c>
    </row>
    <row r="16" spans="1:9" ht="29.1" customHeight="1" x14ac:dyDescent="0.15">
      <c r="A16" s="45" t="s">
        <v>56</v>
      </c>
      <c r="B16" s="52" t="s">
        <v>57</v>
      </c>
      <c r="C16" s="35" t="s">
        <v>58</v>
      </c>
      <c r="D16" s="95" t="s">
        <v>194</v>
      </c>
      <c r="E16" s="36" t="s">
        <v>25</v>
      </c>
      <c r="F16" s="52" t="s">
        <v>59</v>
      </c>
      <c r="G16" s="27" t="s">
        <v>20</v>
      </c>
      <c r="H16" s="30">
        <v>44151</v>
      </c>
      <c r="I16" s="53" t="s">
        <v>60</v>
      </c>
    </row>
    <row r="17" spans="1:9" ht="29.1" customHeight="1" x14ac:dyDescent="0.15">
      <c r="A17" s="45"/>
      <c r="B17" s="52"/>
      <c r="C17" s="103" t="s">
        <v>61</v>
      </c>
      <c r="D17" s="36" t="s">
        <v>62</v>
      </c>
      <c r="E17" s="36" t="s">
        <v>63</v>
      </c>
      <c r="F17" s="52"/>
      <c r="G17" s="27" t="s">
        <v>64</v>
      </c>
      <c r="H17" s="30">
        <v>44151</v>
      </c>
      <c r="I17" s="53"/>
    </row>
    <row r="18" spans="1:9" ht="18" customHeight="1" x14ac:dyDescent="0.15">
      <c r="A18" s="45"/>
      <c r="B18" s="54" t="s">
        <v>65</v>
      </c>
      <c r="C18" s="37" t="s">
        <v>66</v>
      </c>
      <c r="D18" s="50" t="s">
        <v>11</v>
      </c>
      <c r="E18" s="50" t="s">
        <v>44</v>
      </c>
      <c r="F18" s="111" t="s">
        <v>219</v>
      </c>
      <c r="G18" s="52" t="s">
        <v>20</v>
      </c>
      <c r="H18" s="104">
        <v>44151</v>
      </c>
      <c r="I18" s="53" t="s">
        <v>67</v>
      </c>
    </row>
    <row r="19" spans="1:9" ht="18" customHeight="1" x14ac:dyDescent="0.15">
      <c r="A19" s="45"/>
      <c r="B19" s="100"/>
      <c r="C19" s="37" t="s">
        <v>68</v>
      </c>
      <c r="D19" s="49"/>
      <c r="E19" s="52"/>
      <c r="F19" s="110"/>
      <c r="G19" s="52"/>
      <c r="H19" s="52"/>
      <c r="I19" s="53"/>
    </row>
    <row r="20" spans="1:9" s="19" customFormat="1" ht="21.75" customHeight="1" x14ac:dyDescent="0.15">
      <c r="A20" s="46"/>
      <c r="B20" s="102" t="s">
        <v>69</v>
      </c>
      <c r="C20" s="96" t="s">
        <v>197</v>
      </c>
      <c r="D20" s="95" t="s">
        <v>204</v>
      </c>
      <c r="E20" s="36"/>
      <c r="F20" s="36" t="s">
        <v>218</v>
      </c>
      <c r="G20" s="30">
        <v>44150</v>
      </c>
      <c r="H20" s="30">
        <v>44151</v>
      </c>
      <c r="I20" s="16" t="s">
        <v>70</v>
      </c>
    </row>
    <row r="21" spans="1:9" s="19" customFormat="1" ht="18" customHeight="1" x14ac:dyDescent="0.15">
      <c r="A21" s="46"/>
      <c r="B21" s="102"/>
      <c r="C21" s="91" t="s">
        <v>195</v>
      </c>
      <c r="D21" s="36" t="s">
        <v>185</v>
      </c>
      <c r="E21" s="36" t="s">
        <v>201</v>
      </c>
      <c r="F21" s="36" t="s">
        <v>217</v>
      </c>
      <c r="G21" s="30">
        <v>44150</v>
      </c>
      <c r="H21" s="30">
        <v>44151</v>
      </c>
      <c r="I21" s="16"/>
    </row>
    <row r="22" spans="1:9" s="19" customFormat="1" ht="18" customHeight="1" x14ac:dyDescent="0.15">
      <c r="A22" s="46"/>
      <c r="B22" s="102"/>
      <c r="C22" s="91" t="s">
        <v>202</v>
      </c>
      <c r="D22" s="95" t="s">
        <v>205</v>
      </c>
      <c r="E22" s="36" t="s">
        <v>196</v>
      </c>
      <c r="F22" s="38"/>
      <c r="G22" s="30">
        <v>44150</v>
      </c>
      <c r="H22" s="30">
        <v>44151</v>
      </c>
      <c r="I22" s="16"/>
    </row>
    <row r="23" spans="1:9" s="19" customFormat="1" ht="18" customHeight="1" x14ac:dyDescent="0.15">
      <c r="A23" s="46"/>
      <c r="B23" s="102"/>
      <c r="C23" s="91" t="s">
        <v>198</v>
      </c>
      <c r="D23" s="36" t="s">
        <v>200</v>
      </c>
      <c r="E23" s="36" t="s">
        <v>199</v>
      </c>
      <c r="F23" s="97" t="s">
        <v>217</v>
      </c>
      <c r="G23" s="30">
        <v>44150</v>
      </c>
      <c r="H23" s="30">
        <v>44151</v>
      </c>
      <c r="I23" s="16"/>
    </row>
    <row r="24" spans="1:9" s="19" customFormat="1" ht="21.95" customHeight="1" x14ac:dyDescent="0.15">
      <c r="A24" s="46"/>
      <c r="B24" s="102"/>
      <c r="C24" s="91" t="s">
        <v>220</v>
      </c>
      <c r="D24" s="11" t="s">
        <v>24</v>
      </c>
      <c r="E24" s="89" t="s">
        <v>216</v>
      </c>
      <c r="F24" s="58" t="s">
        <v>71</v>
      </c>
      <c r="G24" s="106" t="s">
        <v>72</v>
      </c>
      <c r="H24" s="106">
        <v>44151</v>
      </c>
      <c r="I24" s="42" t="s">
        <v>73</v>
      </c>
    </row>
    <row r="25" spans="1:9" s="19" customFormat="1" ht="105" customHeight="1" x14ac:dyDescent="0.15">
      <c r="A25" s="46"/>
      <c r="B25" s="102"/>
      <c r="C25" s="40" t="s">
        <v>74</v>
      </c>
      <c r="D25" s="11" t="s">
        <v>24</v>
      </c>
      <c r="E25" s="11" t="s">
        <v>25</v>
      </c>
      <c r="F25" s="51"/>
      <c r="G25" s="33">
        <v>44151</v>
      </c>
      <c r="H25" s="33">
        <v>44151</v>
      </c>
      <c r="I25" s="42" t="s">
        <v>75</v>
      </c>
    </row>
    <row r="26" spans="1:9" s="19" customFormat="1" ht="41.25" customHeight="1" x14ac:dyDescent="0.15">
      <c r="A26" s="47" t="s">
        <v>76</v>
      </c>
      <c r="B26" s="105" t="s">
        <v>77</v>
      </c>
      <c r="C26" s="39" t="s">
        <v>78</v>
      </c>
      <c r="D26" s="11" t="s">
        <v>24</v>
      </c>
      <c r="E26" s="34" t="s">
        <v>38</v>
      </c>
      <c r="F26" s="34" t="s">
        <v>26</v>
      </c>
      <c r="G26" s="33">
        <v>44151</v>
      </c>
      <c r="H26" s="33">
        <v>44151</v>
      </c>
      <c r="I26" s="85" t="s">
        <v>215</v>
      </c>
    </row>
    <row r="27" spans="1:9" s="19" customFormat="1" ht="27" customHeight="1" x14ac:dyDescent="0.15">
      <c r="A27" s="47"/>
      <c r="B27" s="107" t="s">
        <v>79</v>
      </c>
      <c r="C27" s="29" t="s">
        <v>80</v>
      </c>
      <c r="D27" s="11" t="s">
        <v>11</v>
      </c>
      <c r="E27" s="11" t="s">
        <v>44</v>
      </c>
      <c r="F27" s="34" t="s">
        <v>12</v>
      </c>
      <c r="G27" s="33">
        <v>44151</v>
      </c>
      <c r="H27" s="33">
        <v>44152</v>
      </c>
      <c r="I27" s="85" t="s">
        <v>208</v>
      </c>
    </row>
    <row r="28" spans="1:9" s="19" customFormat="1" ht="29.25" customHeight="1" x14ac:dyDescent="0.15">
      <c r="A28" s="47"/>
      <c r="B28" s="107"/>
      <c r="C28" s="29" t="s">
        <v>206</v>
      </c>
      <c r="D28" s="89" t="s">
        <v>203</v>
      </c>
      <c r="E28" s="89" t="s">
        <v>207</v>
      </c>
      <c r="F28" s="34"/>
      <c r="G28" s="33"/>
      <c r="H28" s="33">
        <v>44152</v>
      </c>
      <c r="I28" s="85"/>
    </row>
    <row r="29" spans="1:9" s="19" customFormat="1" ht="26.25" customHeight="1" x14ac:dyDescent="0.15">
      <c r="A29" s="47"/>
      <c r="B29" s="107"/>
      <c r="C29" s="93" t="s">
        <v>209</v>
      </c>
      <c r="D29" s="11" t="s">
        <v>24</v>
      </c>
      <c r="E29" s="11" t="s">
        <v>25</v>
      </c>
      <c r="F29" s="34" t="s">
        <v>81</v>
      </c>
      <c r="G29" s="33">
        <v>44151</v>
      </c>
      <c r="H29" s="33">
        <v>44152</v>
      </c>
      <c r="I29" s="42" t="s">
        <v>82</v>
      </c>
    </row>
    <row r="30" spans="1:9" s="19" customFormat="1" ht="25.5" customHeight="1" x14ac:dyDescent="0.15">
      <c r="A30" s="47"/>
      <c r="B30" s="108"/>
      <c r="C30" s="29" t="s">
        <v>83</v>
      </c>
      <c r="D30" s="11" t="s">
        <v>62</v>
      </c>
      <c r="E30" s="11" t="s">
        <v>63</v>
      </c>
      <c r="F30" s="34" t="s">
        <v>33</v>
      </c>
      <c r="G30" s="33">
        <v>44151</v>
      </c>
      <c r="H30" s="33">
        <v>44152</v>
      </c>
      <c r="I30" s="32" t="s">
        <v>84</v>
      </c>
    </row>
    <row r="31" spans="1:9" s="19" customFormat="1" ht="68.25" customHeight="1" x14ac:dyDescent="0.15">
      <c r="A31" s="47"/>
      <c r="B31" s="94" t="s">
        <v>210</v>
      </c>
      <c r="C31" s="109" t="s">
        <v>85</v>
      </c>
      <c r="D31" s="89" t="s">
        <v>211</v>
      </c>
      <c r="E31" s="89" t="s">
        <v>212</v>
      </c>
      <c r="F31" s="78" t="s">
        <v>213</v>
      </c>
      <c r="G31" s="106">
        <v>44146</v>
      </c>
      <c r="H31" s="106">
        <v>44153</v>
      </c>
      <c r="I31" s="39" t="s">
        <v>214</v>
      </c>
    </row>
  </sheetData>
  <mergeCells count="31">
    <mergeCell ref="B11:B14"/>
    <mergeCell ref="G4:G6"/>
    <mergeCell ref="G18:G19"/>
    <mergeCell ref="H4:H5"/>
    <mergeCell ref="H18:H19"/>
    <mergeCell ref="I4:I6"/>
    <mergeCell ref="I9:I10"/>
    <mergeCell ref="I16:I17"/>
    <mergeCell ref="I18:I19"/>
    <mergeCell ref="F4:F6"/>
    <mergeCell ref="F9:F10"/>
    <mergeCell ref="F16:F17"/>
    <mergeCell ref="F18:F19"/>
    <mergeCell ref="F24:F25"/>
    <mergeCell ref="E4:E6"/>
    <mergeCell ref="E9:E10"/>
    <mergeCell ref="E18:E19"/>
    <mergeCell ref="A1:I1"/>
    <mergeCell ref="B2:C2"/>
    <mergeCell ref="A3:A15"/>
    <mergeCell ref="A16:A25"/>
    <mergeCell ref="A26:A31"/>
    <mergeCell ref="B4:B7"/>
    <mergeCell ref="B8:B10"/>
    <mergeCell ref="B16:B17"/>
    <mergeCell ref="B18:B19"/>
    <mergeCell ref="B20:B25"/>
    <mergeCell ref="B27:B30"/>
    <mergeCell ref="D4:D6"/>
    <mergeCell ref="D9:D10"/>
    <mergeCell ref="D18:D19"/>
  </mergeCells>
  <phoneticPr fontId="18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showGridLines="0" tabSelected="1" zoomScale="89" zoomScaleNormal="89" workbookViewId="0">
      <selection activeCell="D15" sqref="D15:D20"/>
    </sheetView>
  </sheetViews>
  <sheetFormatPr defaultColWidth="9" defaultRowHeight="13.5" x14ac:dyDescent="0.15"/>
  <cols>
    <col min="1" max="1" width="8.25" customWidth="1"/>
    <col min="2" max="2" width="10.375" customWidth="1"/>
    <col min="3" max="3" width="14.5" customWidth="1"/>
    <col min="4" max="4" width="27" customWidth="1"/>
    <col min="5" max="5" width="48.125" customWidth="1"/>
    <col min="6" max="6" width="11.375" customWidth="1"/>
    <col min="7" max="7" width="5.875" customWidth="1"/>
    <col min="8" max="8" width="5.75" customWidth="1"/>
    <col min="9" max="9" width="6.375" customWidth="1"/>
    <col min="10" max="10" width="46.875" customWidth="1"/>
    <col min="11" max="11" width="21.25" customWidth="1"/>
  </cols>
  <sheetData>
    <row r="1" spans="1:11" ht="51" customHeight="1" x14ac:dyDescent="0.15">
      <c r="A1" s="55" t="s">
        <v>86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ht="24.75" customHeight="1" x14ac:dyDescent="0.15">
      <c r="A2" s="56" t="s">
        <v>87</v>
      </c>
      <c r="B2" s="56"/>
      <c r="C2" s="56"/>
      <c r="D2" s="56" t="s">
        <v>88</v>
      </c>
      <c r="E2" s="56" t="s">
        <v>89</v>
      </c>
      <c r="F2" s="1"/>
      <c r="G2" s="57" t="s">
        <v>90</v>
      </c>
      <c r="H2" s="57"/>
      <c r="I2" s="57"/>
      <c r="J2" s="57" t="s">
        <v>91</v>
      </c>
      <c r="K2" s="57" t="s">
        <v>92</v>
      </c>
    </row>
    <row r="3" spans="1:11" ht="22.5" customHeight="1" x14ac:dyDescent="0.15">
      <c r="A3" s="1" t="s">
        <v>93</v>
      </c>
      <c r="B3" s="1" t="s">
        <v>94</v>
      </c>
      <c r="C3" s="1" t="s">
        <v>95</v>
      </c>
      <c r="D3" s="56"/>
      <c r="E3" s="56"/>
      <c r="F3" s="77" t="s">
        <v>151</v>
      </c>
      <c r="G3" s="1" t="s">
        <v>96</v>
      </c>
      <c r="H3" s="1" t="s">
        <v>97</v>
      </c>
      <c r="I3" s="2" t="s">
        <v>98</v>
      </c>
      <c r="J3" s="57"/>
      <c r="K3" s="57"/>
    </row>
    <row r="4" spans="1:11" ht="40.5" customHeight="1" x14ac:dyDescent="0.15">
      <c r="A4" s="59" t="s">
        <v>99</v>
      </c>
      <c r="B4" s="60">
        <v>44149</v>
      </c>
      <c r="C4" s="9" t="s">
        <v>100</v>
      </c>
      <c r="D4" s="66" t="s">
        <v>146</v>
      </c>
      <c r="E4" s="65" t="s">
        <v>162</v>
      </c>
      <c r="F4" s="65" t="s">
        <v>154</v>
      </c>
      <c r="G4" s="4">
        <v>1</v>
      </c>
      <c r="H4" s="66"/>
      <c r="I4" s="65">
        <v>1</v>
      </c>
      <c r="J4" s="65" t="s">
        <v>175</v>
      </c>
      <c r="K4" s="64" t="s">
        <v>101</v>
      </c>
    </row>
    <row r="5" spans="1:11" ht="20.100000000000001" customHeight="1" x14ac:dyDescent="0.15">
      <c r="A5" s="59"/>
      <c r="B5" s="60"/>
      <c r="C5" s="9" t="s">
        <v>102</v>
      </c>
      <c r="D5" s="73" t="s">
        <v>103</v>
      </c>
      <c r="E5" s="70" t="s">
        <v>141</v>
      </c>
      <c r="F5" s="70" t="s">
        <v>172</v>
      </c>
      <c r="G5" s="5"/>
      <c r="H5" s="5"/>
      <c r="I5" s="6">
        <v>1</v>
      </c>
      <c r="J5" s="70" t="s">
        <v>176</v>
      </c>
      <c r="K5" s="64"/>
    </row>
    <row r="6" spans="1:11" ht="20.100000000000001" customHeight="1" x14ac:dyDescent="0.15">
      <c r="A6" s="59"/>
      <c r="B6" s="62">
        <v>44150</v>
      </c>
      <c r="C6" s="62" t="s">
        <v>100</v>
      </c>
      <c r="D6" s="70" t="s">
        <v>144</v>
      </c>
      <c r="E6" s="65" t="s">
        <v>155</v>
      </c>
      <c r="F6" s="65" t="s">
        <v>153</v>
      </c>
      <c r="G6" s="5">
        <v>1</v>
      </c>
      <c r="H6" s="5"/>
      <c r="I6" s="5"/>
      <c r="J6" s="70" t="s">
        <v>138</v>
      </c>
      <c r="K6" s="64"/>
    </row>
    <row r="7" spans="1:11" ht="20.100000000000001" customHeight="1" x14ac:dyDescent="0.15">
      <c r="A7" s="59"/>
      <c r="B7" s="67"/>
      <c r="C7" s="63"/>
      <c r="D7" s="72" t="s">
        <v>147</v>
      </c>
      <c r="E7" s="70" t="s">
        <v>139</v>
      </c>
      <c r="F7" s="70" t="s">
        <v>174</v>
      </c>
      <c r="G7" s="5"/>
      <c r="H7" s="5">
        <v>1</v>
      </c>
      <c r="I7" s="5"/>
      <c r="J7" s="70" t="s">
        <v>163</v>
      </c>
      <c r="K7" s="64"/>
    </row>
    <row r="8" spans="1:11" ht="20.100000000000001" customHeight="1" x14ac:dyDescent="0.15">
      <c r="A8" s="59"/>
      <c r="B8" s="67"/>
      <c r="C8" s="74" t="s">
        <v>148</v>
      </c>
      <c r="D8" s="68" t="s">
        <v>105</v>
      </c>
      <c r="E8" s="5" t="s">
        <v>106</v>
      </c>
      <c r="F8" s="70" t="s">
        <v>171</v>
      </c>
      <c r="G8" s="5"/>
      <c r="H8" s="5"/>
      <c r="I8" s="5">
        <v>1</v>
      </c>
      <c r="J8" s="65" t="s">
        <v>150</v>
      </c>
      <c r="K8" s="64"/>
    </row>
    <row r="9" spans="1:11" ht="20.100000000000001" customHeight="1" x14ac:dyDescent="0.15">
      <c r="A9" s="59"/>
      <c r="B9" s="67"/>
      <c r="C9" s="75" t="s">
        <v>149</v>
      </c>
      <c r="D9" s="69"/>
      <c r="E9" s="7" t="s">
        <v>107</v>
      </c>
      <c r="F9" s="78" t="s">
        <v>172</v>
      </c>
      <c r="G9" s="7"/>
      <c r="H9" s="7"/>
      <c r="I9" s="8">
        <v>1</v>
      </c>
      <c r="J9" s="65" t="s">
        <v>143</v>
      </c>
      <c r="K9" s="64"/>
    </row>
    <row r="10" spans="1:11" ht="20.100000000000001" customHeight="1" x14ac:dyDescent="0.15">
      <c r="A10" s="59"/>
      <c r="B10" s="67"/>
      <c r="C10" s="84"/>
      <c r="D10" s="7" t="s">
        <v>104</v>
      </c>
      <c r="E10" s="70" t="s">
        <v>142</v>
      </c>
      <c r="F10" s="70" t="s">
        <v>153</v>
      </c>
      <c r="G10" s="5"/>
      <c r="H10" s="5"/>
      <c r="I10" s="6">
        <v>1</v>
      </c>
      <c r="J10" s="86" t="s">
        <v>156</v>
      </c>
      <c r="K10" s="64"/>
    </row>
    <row r="11" spans="1:11" ht="20.100000000000001" customHeight="1" x14ac:dyDescent="0.15">
      <c r="A11" s="59"/>
      <c r="B11" s="63"/>
      <c r="C11" s="76"/>
      <c r="D11" s="81" t="s">
        <v>164</v>
      </c>
      <c r="E11" s="81" t="s">
        <v>170</v>
      </c>
      <c r="F11" s="70"/>
      <c r="G11" s="5"/>
      <c r="H11" s="5"/>
      <c r="I11" s="6">
        <v>1</v>
      </c>
      <c r="J11" s="87" t="s">
        <v>173</v>
      </c>
      <c r="K11" s="64"/>
    </row>
    <row r="12" spans="1:11" ht="20.100000000000001" customHeight="1" x14ac:dyDescent="0.15">
      <c r="A12" s="59"/>
      <c r="B12" s="60">
        <v>44151</v>
      </c>
      <c r="C12" s="71" t="s">
        <v>166</v>
      </c>
      <c r="D12" s="78" t="s">
        <v>165</v>
      </c>
      <c r="E12" s="71" t="s">
        <v>161</v>
      </c>
      <c r="F12" s="71" t="s">
        <v>152</v>
      </c>
      <c r="G12" s="8"/>
      <c r="H12" s="10"/>
      <c r="I12" s="6">
        <v>1</v>
      </c>
      <c r="J12" s="78" t="s">
        <v>167</v>
      </c>
      <c r="K12" s="64"/>
    </row>
    <row r="13" spans="1:11" ht="33.75" customHeight="1" x14ac:dyDescent="0.15">
      <c r="A13" s="59"/>
      <c r="B13" s="60"/>
      <c r="C13" s="3" t="s">
        <v>102</v>
      </c>
      <c r="D13" s="78" t="s">
        <v>145</v>
      </c>
      <c r="E13" s="7" t="s">
        <v>109</v>
      </c>
      <c r="F13" s="78" t="s">
        <v>153</v>
      </c>
      <c r="G13" s="7">
        <v>1</v>
      </c>
      <c r="H13" s="7"/>
      <c r="I13" s="8"/>
      <c r="J13" s="80" t="s">
        <v>138</v>
      </c>
      <c r="K13" s="64"/>
    </row>
    <row r="14" spans="1:11" ht="20.100000000000001" customHeight="1" x14ac:dyDescent="0.15">
      <c r="A14" s="59"/>
      <c r="B14" s="60"/>
      <c r="C14" s="10"/>
      <c r="D14" s="11"/>
      <c r="E14" s="10"/>
      <c r="F14" s="10"/>
      <c r="G14" s="8"/>
      <c r="H14" s="10"/>
      <c r="I14" s="6"/>
      <c r="J14" s="6"/>
      <c r="K14" s="64"/>
    </row>
    <row r="15" spans="1:11" ht="20.100000000000001" customHeight="1" x14ac:dyDescent="0.15">
      <c r="A15" s="59"/>
      <c r="B15" s="60"/>
      <c r="C15" s="60" t="s">
        <v>110</v>
      </c>
      <c r="D15" s="58" t="s">
        <v>111</v>
      </c>
      <c r="E15" s="10" t="s">
        <v>112</v>
      </c>
      <c r="F15" s="10"/>
      <c r="G15" s="10"/>
      <c r="H15" s="11">
        <v>1</v>
      </c>
      <c r="I15" s="11"/>
      <c r="J15" s="6" t="s">
        <v>113</v>
      </c>
      <c r="K15" s="64"/>
    </row>
    <row r="16" spans="1:11" ht="20.100000000000001" customHeight="1" x14ac:dyDescent="0.15">
      <c r="A16" s="59"/>
      <c r="B16" s="60"/>
      <c r="C16" s="60"/>
      <c r="D16" s="58"/>
      <c r="E16" s="10" t="s">
        <v>114</v>
      </c>
      <c r="F16" s="71" t="s">
        <v>171</v>
      </c>
      <c r="G16" s="10"/>
      <c r="H16" s="11"/>
      <c r="I16" s="11">
        <v>1</v>
      </c>
      <c r="J16" s="6" t="s">
        <v>115</v>
      </c>
      <c r="K16" s="64"/>
    </row>
    <row r="17" spans="1:11" ht="20.100000000000001" customHeight="1" x14ac:dyDescent="0.15">
      <c r="A17" s="59"/>
      <c r="B17" s="60"/>
      <c r="C17" s="60" t="s">
        <v>116</v>
      </c>
      <c r="D17" s="58"/>
      <c r="E17" s="10" t="s">
        <v>117</v>
      </c>
      <c r="F17" s="10"/>
      <c r="G17" s="10"/>
      <c r="H17" s="11">
        <v>1</v>
      </c>
      <c r="I17" s="11"/>
      <c r="J17" s="6" t="s">
        <v>113</v>
      </c>
      <c r="K17" s="64"/>
    </row>
    <row r="18" spans="1:11" ht="20.100000000000001" customHeight="1" x14ac:dyDescent="0.15">
      <c r="A18" s="59"/>
      <c r="B18" s="60"/>
      <c r="C18" s="60"/>
      <c r="D18" s="58"/>
      <c r="E18" s="71" t="s">
        <v>140</v>
      </c>
      <c r="F18" s="71" t="s">
        <v>182</v>
      </c>
      <c r="G18" s="10"/>
      <c r="H18" s="11"/>
      <c r="I18" s="11">
        <v>1</v>
      </c>
      <c r="J18" s="6" t="s">
        <v>115</v>
      </c>
      <c r="K18" s="64"/>
    </row>
    <row r="19" spans="1:11" ht="20.100000000000001" customHeight="1" x14ac:dyDescent="0.15">
      <c r="A19" s="59"/>
      <c r="B19" s="60"/>
      <c r="C19" s="61" t="s">
        <v>118</v>
      </c>
      <c r="D19" s="58"/>
      <c r="E19" s="10" t="s">
        <v>119</v>
      </c>
      <c r="F19" s="10"/>
      <c r="G19" s="10"/>
      <c r="H19" s="11">
        <v>1</v>
      </c>
      <c r="I19" s="11"/>
      <c r="J19" s="6" t="s">
        <v>113</v>
      </c>
      <c r="K19" s="64"/>
    </row>
    <row r="20" spans="1:11" ht="20.100000000000001" customHeight="1" x14ac:dyDescent="0.15">
      <c r="A20" s="59"/>
      <c r="B20" s="60"/>
      <c r="C20" s="61"/>
      <c r="D20" s="58"/>
      <c r="E20" s="10" t="s">
        <v>120</v>
      </c>
      <c r="F20" s="71" t="s">
        <v>171</v>
      </c>
      <c r="G20" s="10"/>
      <c r="H20" s="11"/>
      <c r="I20" s="11">
        <v>1</v>
      </c>
      <c r="J20" s="6" t="s">
        <v>115</v>
      </c>
      <c r="K20" s="64"/>
    </row>
    <row r="21" spans="1:11" ht="20.100000000000001" customHeight="1" x14ac:dyDescent="0.15">
      <c r="A21" s="59"/>
      <c r="B21" s="60"/>
      <c r="C21" s="82" t="s">
        <v>121</v>
      </c>
      <c r="D21" s="78" t="s">
        <v>157</v>
      </c>
      <c r="E21" s="71" t="s">
        <v>158</v>
      </c>
      <c r="F21" s="71" t="s">
        <v>181</v>
      </c>
      <c r="G21" s="10"/>
      <c r="H21" s="11"/>
      <c r="I21" s="11">
        <v>5</v>
      </c>
      <c r="J21" s="6"/>
      <c r="K21" s="64"/>
    </row>
    <row r="22" spans="1:11" ht="20.100000000000001" customHeight="1" x14ac:dyDescent="0.15">
      <c r="A22" s="59"/>
      <c r="B22" s="60"/>
      <c r="C22" s="83"/>
      <c r="D22" s="7" t="s">
        <v>122</v>
      </c>
      <c r="E22" s="10" t="s">
        <v>123</v>
      </c>
      <c r="F22" s="71" t="s">
        <v>171</v>
      </c>
      <c r="G22" s="10" t="s">
        <v>124</v>
      </c>
      <c r="H22" s="11"/>
      <c r="I22" s="11"/>
      <c r="J22" s="10" t="s">
        <v>113</v>
      </c>
      <c r="K22" s="64"/>
    </row>
    <row r="23" spans="1:11" ht="20.100000000000001" customHeight="1" x14ac:dyDescent="0.15">
      <c r="A23" s="59" t="s">
        <v>125</v>
      </c>
      <c r="B23" s="61">
        <v>44152</v>
      </c>
      <c r="C23" s="61" t="s">
        <v>100</v>
      </c>
      <c r="D23" s="7" t="s">
        <v>126</v>
      </c>
      <c r="E23" s="10" t="s">
        <v>127</v>
      </c>
      <c r="F23" s="10"/>
      <c r="G23" s="10"/>
      <c r="H23" s="11">
        <v>1</v>
      </c>
      <c r="I23" s="12"/>
      <c r="J23" s="10" t="s">
        <v>108</v>
      </c>
      <c r="K23" s="64"/>
    </row>
    <row r="24" spans="1:11" ht="20.100000000000001" customHeight="1" x14ac:dyDescent="0.15">
      <c r="A24" s="59"/>
      <c r="B24" s="61"/>
      <c r="C24" s="61"/>
      <c r="D24" s="7" t="s">
        <v>128</v>
      </c>
      <c r="E24" s="10" t="s">
        <v>129</v>
      </c>
      <c r="F24" s="71" t="s">
        <v>171</v>
      </c>
      <c r="G24" s="10"/>
      <c r="H24" s="11"/>
      <c r="I24" s="11">
        <v>4</v>
      </c>
      <c r="J24" s="10" t="s">
        <v>130</v>
      </c>
      <c r="K24" s="64"/>
    </row>
    <row r="25" spans="1:11" ht="20.100000000000001" customHeight="1" x14ac:dyDescent="0.15">
      <c r="A25" s="59"/>
      <c r="B25" s="61"/>
      <c r="C25" s="10" t="s">
        <v>102</v>
      </c>
      <c r="D25" s="10" t="s">
        <v>131</v>
      </c>
      <c r="E25" s="10" t="s">
        <v>132</v>
      </c>
      <c r="F25" s="71" t="s">
        <v>182</v>
      </c>
      <c r="G25" s="10"/>
      <c r="H25" s="10"/>
      <c r="I25" s="6">
        <v>3</v>
      </c>
      <c r="J25" s="79" t="s">
        <v>168</v>
      </c>
      <c r="K25" s="64"/>
    </row>
    <row r="26" spans="1:11" ht="20.100000000000001" customHeight="1" x14ac:dyDescent="0.15">
      <c r="A26" s="59"/>
      <c r="B26" s="61">
        <v>44153</v>
      </c>
      <c r="C26" s="10" t="s">
        <v>100</v>
      </c>
      <c r="D26" s="10" t="s">
        <v>133</v>
      </c>
      <c r="E26" s="10" t="s">
        <v>134</v>
      </c>
      <c r="F26" s="71" t="s">
        <v>171</v>
      </c>
      <c r="G26" s="10"/>
      <c r="H26" s="10"/>
      <c r="I26" s="6">
        <v>1</v>
      </c>
      <c r="J26" s="79" t="s">
        <v>169</v>
      </c>
      <c r="K26" s="64"/>
    </row>
    <row r="27" spans="1:11" ht="20.100000000000001" customHeight="1" x14ac:dyDescent="0.15">
      <c r="A27" s="59"/>
      <c r="B27" s="61"/>
      <c r="C27" s="10" t="s">
        <v>102</v>
      </c>
      <c r="D27" s="71" t="s">
        <v>159</v>
      </c>
      <c r="E27" s="71" t="s">
        <v>160</v>
      </c>
      <c r="F27" s="10"/>
      <c r="G27" s="10"/>
      <c r="H27" s="10"/>
      <c r="I27" s="4"/>
      <c r="J27" s="4" t="s">
        <v>135</v>
      </c>
      <c r="K27" s="64"/>
    </row>
    <row r="28" spans="1:11" ht="20.100000000000001" customHeight="1" x14ac:dyDescent="0.15">
      <c r="A28" s="13"/>
      <c r="B28" s="13"/>
      <c r="C28" s="13"/>
      <c r="D28" s="13"/>
      <c r="E28" s="14" t="s">
        <v>136</v>
      </c>
      <c r="F28" s="14"/>
      <c r="G28" s="15">
        <f>SUM(G4:G27)</f>
        <v>3</v>
      </c>
      <c r="H28" s="15">
        <f>SUM(H5:H27)</f>
        <v>5</v>
      </c>
      <c r="I28" s="15">
        <f>SUM(I5:I27)</f>
        <v>22</v>
      </c>
      <c r="J28" s="17"/>
      <c r="K28" s="13"/>
    </row>
    <row r="29" spans="1:11" ht="20.100000000000001" customHeight="1" x14ac:dyDescent="0.15">
      <c r="A29" s="13"/>
      <c r="B29" s="13"/>
      <c r="C29" s="13"/>
      <c r="D29" s="13"/>
      <c r="E29" s="14" t="s">
        <v>137</v>
      </c>
      <c r="F29" s="14"/>
      <c r="G29" s="58">
        <f>G28+H28+I28</f>
        <v>30</v>
      </c>
      <c r="H29" s="58"/>
      <c r="I29" s="58"/>
      <c r="J29" s="18"/>
      <c r="K29" s="13"/>
    </row>
  </sheetData>
  <mergeCells count="26">
    <mergeCell ref="B6:B11"/>
    <mergeCell ref="D8:D9"/>
    <mergeCell ref="C6:C7"/>
    <mergeCell ref="C9:C11"/>
    <mergeCell ref="C21:C22"/>
    <mergeCell ref="K2:K3"/>
    <mergeCell ref="K4:K27"/>
    <mergeCell ref="E2:E3"/>
    <mergeCell ref="J2:J3"/>
    <mergeCell ref="C17:C18"/>
    <mergeCell ref="C19:C20"/>
    <mergeCell ref="C23:C24"/>
    <mergeCell ref="D2:D3"/>
    <mergeCell ref="D15:D20"/>
    <mergeCell ref="A1:K1"/>
    <mergeCell ref="A2:C2"/>
    <mergeCell ref="G2:I2"/>
    <mergeCell ref="G29:I29"/>
    <mergeCell ref="A4:A13"/>
    <mergeCell ref="A14:A22"/>
    <mergeCell ref="A23:A27"/>
    <mergeCell ref="B4:B5"/>
    <mergeCell ref="B12:B22"/>
    <mergeCell ref="B23:B25"/>
    <mergeCell ref="B26:B27"/>
    <mergeCell ref="C15:C16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分工表</vt:lpstr>
      <vt:lpstr>传播规划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xueman.tian</dc:creator>
  <cp:lastModifiedBy>Liu.Lige</cp:lastModifiedBy>
  <dcterms:created xsi:type="dcterms:W3CDTF">2020-11-06T01:28:00Z</dcterms:created>
  <dcterms:modified xsi:type="dcterms:W3CDTF">2020-11-11T09:55:39Z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